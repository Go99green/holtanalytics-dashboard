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eeganholt/Downloads/"/>
    </mc:Choice>
  </mc:AlternateContent>
  <xr:revisionPtr revIDLastSave="0" documentId="8_{D995F786-D27D-3B4C-9267-B00FDFC33CB3}" xr6:coauthVersionLast="47" xr6:coauthVersionMax="47" xr10:uidLastSave="{00000000-0000-0000-0000-000000000000}"/>
  <bookViews>
    <workbookView xWindow="0" yWindow="660" windowWidth="25960" windowHeight="18980" xr2:uid="{00000000-000D-0000-FFFF-FFFF00000000}"/>
  </bookViews>
  <sheets>
    <sheet name="Overview" sheetId="1" r:id="rId1"/>
    <sheet name="Assumptions" sheetId="2" r:id="rId2"/>
    <sheet name="Master_Model" sheetId="3" r:id="rId3"/>
    <sheet name="Scenario_OnePager" sheetId="4" r:id="rId4"/>
    <sheet name="Source_Log" sheetId="5" r:id="rId5"/>
    <sheet name="Charts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8" i="3" l="1"/>
  <c r="I98" i="3"/>
  <c r="H98" i="3"/>
  <c r="G98" i="3"/>
  <c r="F98" i="3"/>
  <c r="E98" i="3"/>
  <c r="J92" i="3"/>
  <c r="I92" i="3"/>
  <c r="H92" i="3"/>
  <c r="G92" i="3"/>
  <c r="F92" i="3"/>
  <c r="E92" i="3"/>
  <c r="J91" i="3"/>
  <c r="I91" i="3"/>
  <c r="H91" i="3"/>
  <c r="G91" i="3"/>
  <c r="F91" i="3"/>
  <c r="E91" i="3"/>
  <c r="J90" i="3"/>
  <c r="I90" i="3"/>
  <c r="H90" i="3"/>
  <c r="G90" i="3"/>
  <c r="F90" i="3"/>
  <c r="E90" i="3"/>
  <c r="J89" i="3"/>
  <c r="I89" i="3"/>
  <c r="H89" i="3"/>
  <c r="G89" i="3"/>
  <c r="F89" i="3"/>
  <c r="E89" i="3"/>
  <c r="J88" i="3"/>
  <c r="I88" i="3"/>
  <c r="H88" i="3"/>
  <c r="G88" i="3"/>
  <c r="F88" i="3"/>
  <c r="E88" i="3"/>
  <c r="J87" i="3"/>
  <c r="I87" i="3"/>
  <c r="H87" i="3"/>
  <c r="G87" i="3"/>
  <c r="F87" i="3"/>
  <c r="E87" i="3"/>
  <c r="J86" i="3"/>
  <c r="I86" i="3"/>
  <c r="H86" i="3"/>
  <c r="G86" i="3"/>
  <c r="F86" i="3"/>
  <c r="E86" i="3"/>
  <c r="J85" i="3"/>
  <c r="I85" i="3"/>
  <c r="H85" i="3"/>
  <c r="G85" i="3"/>
  <c r="F85" i="3"/>
  <c r="E85" i="3"/>
  <c r="J84" i="3"/>
  <c r="I84" i="3"/>
  <c r="H84" i="3"/>
  <c r="G84" i="3"/>
  <c r="F84" i="3"/>
  <c r="E84" i="3"/>
  <c r="I83" i="3"/>
  <c r="H83" i="3"/>
  <c r="G83" i="3"/>
  <c r="F83" i="3"/>
  <c r="E83" i="3"/>
  <c r="J82" i="3"/>
  <c r="I82" i="3"/>
  <c r="H82" i="3"/>
  <c r="G82" i="3"/>
  <c r="F82" i="3"/>
  <c r="E82" i="3"/>
  <c r="J80" i="3"/>
  <c r="I80" i="3"/>
  <c r="H80" i="3"/>
  <c r="G80" i="3"/>
  <c r="F80" i="3"/>
  <c r="E80" i="3"/>
  <c r="J79" i="3"/>
  <c r="J81" i="3" s="1"/>
  <c r="I79" i="3"/>
  <c r="I81" i="3" s="1"/>
  <c r="H79" i="3"/>
  <c r="G79" i="3"/>
  <c r="F79" i="3"/>
  <c r="E79" i="3"/>
  <c r="E81" i="3" s="1"/>
  <c r="J77" i="3"/>
  <c r="I77" i="3"/>
  <c r="H77" i="3"/>
  <c r="G77" i="3"/>
  <c r="F77" i="3"/>
  <c r="E77" i="3"/>
  <c r="J76" i="3"/>
  <c r="I76" i="3"/>
  <c r="H76" i="3"/>
  <c r="G76" i="3"/>
  <c r="F76" i="3"/>
  <c r="E76" i="3"/>
  <c r="J75" i="3"/>
  <c r="I75" i="3"/>
  <c r="H75" i="3"/>
  <c r="G75" i="3"/>
  <c r="F75" i="3"/>
  <c r="E75" i="3"/>
  <c r="J74" i="3"/>
  <c r="I74" i="3"/>
  <c r="H74" i="3"/>
  <c r="G74" i="3"/>
  <c r="F74" i="3"/>
  <c r="E74" i="3"/>
  <c r="J73" i="3"/>
  <c r="I73" i="3"/>
  <c r="H73" i="3"/>
  <c r="G73" i="3"/>
  <c r="F73" i="3"/>
  <c r="E73" i="3"/>
  <c r="J72" i="3"/>
  <c r="I72" i="3"/>
  <c r="H72" i="3"/>
  <c r="G72" i="3"/>
  <c r="F72" i="3"/>
  <c r="E72" i="3"/>
  <c r="J71" i="3"/>
  <c r="I71" i="3"/>
  <c r="H71" i="3"/>
  <c r="G71" i="3"/>
  <c r="F71" i="3"/>
  <c r="E71" i="3"/>
  <c r="J70" i="3"/>
  <c r="I70" i="3"/>
  <c r="H70" i="3"/>
  <c r="G70" i="3"/>
  <c r="F70" i="3"/>
  <c r="E70" i="3"/>
  <c r="J69" i="3"/>
  <c r="I69" i="3"/>
  <c r="H69" i="3"/>
  <c r="G69" i="3"/>
  <c r="F69" i="3"/>
  <c r="E69" i="3"/>
  <c r="J68" i="3"/>
  <c r="I68" i="3"/>
  <c r="H68" i="3"/>
  <c r="G68" i="3"/>
  <c r="F68" i="3"/>
  <c r="E68" i="3"/>
  <c r="J67" i="3"/>
  <c r="I67" i="3"/>
  <c r="H67" i="3"/>
  <c r="G67" i="3"/>
  <c r="F67" i="3"/>
  <c r="E67" i="3"/>
  <c r="J65" i="3"/>
  <c r="I65" i="3"/>
  <c r="H65" i="3"/>
  <c r="G65" i="3"/>
  <c r="F65" i="3"/>
  <c r="E65" i="3"/>
  <c r="J64" i="3"/>
  <c r="I64" i="3"/>
  <c r="H64" i="3"/>
  <c r="G64" i="3"/>
  <c r="F64" i="3"/>
  <c r="E64" i="3"/>
  <c r="J63" i="3"/>
  <c r="I63" i="3"/>
  <c r="H63" i="3"/>
  <c r="G63" i="3"/>
  <c r="F63" i="3"/>
  <c r="E63" i="3"/>
  <c r="J62" i="3"/>
  <c r="I62" i="3"/>
  <c r="H62" i="3"/>
  <c r="G62" i="3"/>
  <c r="F62" i="3"/>
  <c r="E62" i="3"/>
  <c r="J61" i="3"/>
  <c r="I61" i="3"/>
  <c r="H61" i="3"/>
  <c r="G61" i="3"/>
  <c r="F61" i="3"/>
  <c r="E61" i="3"/>
  <c r="J60" i="3"/>
  <c r="I60" i="3"/>
  <c r="H60" i="3"/>
  <c r="G60" i="3"/>
  <c r="F60" i="3"/>
  <c r="E60" i="3"/>
  <c r="J59" i="3"/>
  <c r="I59" i="3"/>
  <c r="H59" i="3"/>
  <c r="G59" i="3"/>
  <c r="F59" i="3"/>
  <c r="E59" i="3"/>
  <c r="J57" i="3"/>
  <c r="I57" i="3"/>
  <c r="H57" i="3"/>
  <c r="H58" i="3" s="1"/>
  <c r="G57" i="3"/>
  <c r="G58" i="3" s="1"/>
  <c r="F57" i="3"/>
  <c r="F58" i="3" s="1"/>
  <c r="E57" i="3"/>
  <c r="J56" i="3"/>
  <c r="I56" i="3"/>
  <c r="H56" i="3"/>
  <c r="G56" i="3"/>
  <c r="F56" i="3"/>
  <c r="E56" i="3"/>
  <c r="J55" i="3"/>
  <c r="I55" i="3"/>
  <c r="H55" i="3"/>
  <c r="G55" i="3"/>
  <c r="F55" i="3"/>
  <c r="E55" i="3"/>
  <c r="J54" i="3"/>
  <c r="I54" i="3"/>
  <c r="H54" i="3"/>
  <c r="G54" i="3"/>
  <c r="F54" i="3"/>
  <c r="E54" i="3"/>
  <c r="J53" i="3"/>
  <c r="I53" i="3"/>
  <c r="H53" i="3"/>
  <c r="G53" i="3"/>
  <c r="F53" i="3"/>
  <c r="E53" i="3"/>
  <c r="J50" i="3"/>
  <c r="I50" i="3"/>
  <c r="H50" i="3"/>
  <c r="G50" i="3"/>
  <c r="F50" i="3"/>
  <c r="E50" i="3"/>
  <c r="J48" i="3"/>
  <c r="I48" i="3"/>
  <c r="H48" i="3"/>
  <c r="G48" i="3"/>
  <c r="F48" i="3"/>
  <c r="E48" i="3"/>
  <c r="J47" i="3"/>
  <c r="I47" i="3"/>
  <c r="H47" i="3"/>
  <c r="G47" i="3"/>
  <c r="F47" i="3"/>
  <c r="E47" i="3"/>
  <c r="J45" i="3"/>
  <c r="I45" i="3"/>
  <c r="H45" i="3"/>
  <c r="G45" i="3"/>
  <c r="F45" i="3"/>
  <c r="E45" i="3"/>
  <c r="J44" i="3"/>
  <c r="I44" i="3"/>
  <c r="H44" i="3"/>
  <c r="G44" i="3"/>
  <c r="F44" i="3"/>
  <c r="E44" i="3"/>
  <c r="J43" i="3"/>
  <c r="I43" i="3"/>
  <c r="H43" i="3"/>
  <c r="G43" i="3"/>
  <c r="F43" i="3"/>
  <c r="E43" i="3"/>
  <c r="I42" i="3"/>
  <c r="I46" i="3" s="1"/>
  <c r="H42" i="3"/>
  <c r="H46" i="3" s="1"/>
  <c r="G42" i="3"/>
  <c r="G46" i="3" s="1"/>
  <c r="F42" i="3"/>
  <c r="F46" i="3" s="1"/>
  <c r="E42" i="3"/>
  <c r="E46" i="3" s="1"/>
  <c r="I41" i="3"/>
  <c r="J39" i="3"/>
  <c r="I39" i="3"/>
  <c r="H39" i="3"/>
  <c r="G39" i="3"/>
  <c r="F39" i="3"/>
  <c r="E39" i="3"/>
  <c r="J38" i="3"/>
  <c r="I38" i="3"/>
  <c r="H38" i="3"/>
  <c r="G38" i="3"/>
  <c r="F38" i="3"/>
  <c r="E38" i="3"/>
  <c r="J37" i="3"/>
  <c r="I37" i="3"/>
  <c r="H37" i="3"/>
  <c r="G37" i="3"/>
  <c r="F37" i="3"/>
  <c r="E37" i="3"/>
  <c r="I35" i="3"/>
  <c r="H35" i="3"/>
  <c r="G35" i="3"/>
  <c r="F35" i="3"/>
  <c r="F41" i="3" s="1"/>
  <c r="E35" i="3"/>
  <c r="E41" i="3" s="1"/>
  <c r="J33" i="3"/>
  <c r="I33" i="3"/>
  <c r="H33" i="3"/>
  <c r="G33" i="3"/>
  <c r="F33" i="3"/>
  <c r="E33" i="3"/>
  <c r="J32" i="3"/>
  <c r="I32" i="3"/>
  <c r="H32" i="3"/>
  <c r="G32" i="3"/>
  <c r="F32" i="3"/>
  <c r="E32" i="3"/>
  <c r="J29" i="3"/>
  <c r="I29" i="3"/>
  <c r="H29" i="3"/>
  <c r="G29" i="3"/>
  <c r="F29" i="3"/>
  <c r="E29" i="3"/>
  <c r="J26" i="3"/>
  <c r="I26" i="3"/>
  <c r="H26" i="3"/>
  <c r="G26" i="3"/>
  <c r="F26" i="3"/>
  <c r="E26" i="3"/>
  <c r="J25" i="3"/>
  <c r="I25" i="3"/>
  <c r="H25" i="3"/>
  <c r="G25" i="3"/>
  <c r="F25" i="3"/>
  <c r="E25" i="3"/>
  <c r="J24" i="3"/>
  <c r="I24" i="3"/>
  <c r="H24" i="3"/>
  <c r="G24" i="3"/>
  <c r="F24" i="3"/>
  <c r="E24" i="3"/>
  <c r="J23" i="3"/>
  <c r="I23" i="3"/>
  <c r="H23" i="3"/>
  <c r="G23" i="3"/>
  <c r="F23" i="3"/>
  <c r="E23" i="3"/>
  <c r="J22" i="3"/>
  <c r="D18" i="4" s="1"/>
  <c r="I22" i="3"/>
  <c r="H22" i="3"/>
  <c r="G22" i="3"/>
  <c r="F22" i="3"/>
  <c r="E22" i="3"/>
  <c r="J21" i="3"/>
  <c r="I21" i="3"/>
  <c r="H21" i="3"/>
  <c r="G21" i="3"/>
  <c r="F21" i="3"/>
  <c r="E21" i="3"/>
  <c r="J20" i="3"/>
  <c r="I20" i="3"/>
  <c r="H20" i="3"/>
  <c r="G20" i="3"/>
  <c r="F20" i="3"/>
  <c r="E20" i="3"/>
  <c r="J19" i="3"/>
  <c r="I19" i="3"/>
  <c r="H19" i="3"/>
  <c r="G19" i="3"/>
  <c r="F19" i="3"/>
  <c r="E19" i="3"/>
  <c r="J18" i="3"/>
  <c r="I18" i="3"/>
  <c r="H18" i="3"/>
  <c r="G18" i="3"/>
  <c r="F18" i="3"/>
  <c r="E18" i="3"/>
  <c r="J17" i="3"/>
  <c r="I17" i="3"/>
  <c r="H17" i="3"/>
  <c r="G17" i="3"/>
  <c r="F17" i="3"/>
  <c r="E17" i="3"/>
  <c r="I16" i="3"/>
  <c r="H16" i="3"/>
  <c r="G16" i="3"/>
  <c r="F16" i="3"/>
  <c r="E16" i="3"/>
  <c r="H15" i="3"/>
  <c r="G15" i="3"/>
  <c r="F15" i="3"/>
  <c r="E15" i="3"/>
  <c r="I14" i="3"/>
  <c r="I15" i="3" s="1"/>
  <c r="H14" i="3"/>
  <c r="G14" i="3"/>
  <c r="F14" i="3"/>
  <c r="E14" i="3"/>
  <c r="J13" i="3"/>
  <c r="I13" i="3"/>
  <c r="H13" i="3"/>
  <c r="G13" i="3"/>
  <c r="F13" i="3"/>
  <c r="E13" i="3"/>
  <c r="J12" i="3"/>
  <c r="I12" i="3"/>
  <c r="H12" i="3"/>
  <c r="G12" i="3"/>
  <c r="F12" i="3"/>
  <c r="E12" i="3"/>
  <c r="J11" i="3"/>
  <c r="I11" i="3"/>
  <c r="H11" i="3"/>
  <c r="G11" i="3"/>
  <c r="F11" i="3"/>
  <c r="E11" i="3"/>
  <c r="J10" i="3"/>
  <c r="I10" i="3"/>
  <c r="H10" i="3"/>
  <c r="G10" i="3"/>
  <c r="F10" i="3"/>
  <c r="E10" i="3"/>
  <c r="J9" i="3"/>
  <c r="I9" i="3"/>
  <c r="H9" i="3"/>
  <c r="G9" i="3"/>
  <c r="F9" i="3"/>
  <c r="E9" i="3"/>
  <c r="J8" i="3"/>
  <c r="I8" i="3"/>
  <c r="H8" i="3"/>
  <c r="G8" i="3"/>
  <c r="F8" i="3"/>
  <c r="E8" i="3"/>
  <c r="J7" i="3"/>
  <c r="I7" i="3"/>
  <c r="H7" i="3"/>
  <c r="G7" i="3"/>
  <c r="F7" i="3"/>
  <c r="E7" i="3"/>
  <c r="J6" i="3"/>
  <c r="I6" i="3"/>
  <c r="H6" i="3"/>
  <c r="G6" i="3"/>
  <c r="F6" i="3"/>
  <c r="E6" i="3"/>
  <c r="J4" i="3"/>
  <c r="J5" i="3" s="1"/>
  <c r="I4" i="3"/>
  <c r="I5" i="3" s="1"/>
  <c r="I36" i="3" s="1"/>
  <c r="H4" i="3"/>
  <c r="G4" i="3"/>
  <c r="F4" i="3"/>
  <c r="E4" i="3"/>
  <c r="J3" i="3"/>
  <c r="D17" i="4" s="1"/>
  <c r="I3" i="3"/>
  <c r="A5" i="1" s="1"/>
  <c r="H3" i="3"/>
  <c r="E2" i="6" s="1"/>
  <c r="G3" i="3"/>
  <c r="D2" i="6" s="1"/>
  <c r="F3" i="3"/>
  <c r="C2" i="6" s="1"/>
  <c r="E3" i="3"/>
  <c r="B2" i="6" s="1"/>
  <c r="H50" i="2"/>
  <c r="J83" i="3" s="1"/>
  <c r="H43" i="2"/>
  <c r="J42" i="3" s="1"/>
  <c r="H39" i="2"/>
  <c r="J35" i="3" s="1"/>
  <c r="J41" i="3" s="1"/>
  <c r="H37" i="2"/>
  <c r="H32" i="2"/>
  <c r="H26" i="2"/>
  <c r="J16" i="3" s="1"/>
  <c r="H25" i="2"/>
  <c r="J14" i="3" s="1"/>
  <c r="H13" i="2"/>
  <c r="G41" i="3" l="1"/>
  <c r="G81" i="3"/>
  <c r="E5" i="3"/>
  <c r="H41" i="3"/>
  <c r="H81" i="3"/>
  <c r="F5" i="3"/>
  <c r="F28" i="3" s="1"/>
  <c r="J58" i="3"/>
  <c r="J15" i="3"/>
  <c r="I58" i="3"/>
  <c r="F81" i="3"/>
  <c r="E58" i="3"/>
  <c r="D19" i="4"/>
  <c r="D22" i="4" s="1"/>
  <c r="C19" i="4"/>
  <c r="B19" i="4"/>
  <c r="J46" i="3"/>
  <c r="D20" i="4"/>
  <c r="D23" i="4" s="1"/>
  <c r="C20" i="4"/>
  <c r="C23" i="4" s="1"/>
  <c r="B20" i="4"/>
  <c r="B23" i="4" s="1"/>
  <c r="E34" i="3"/>
  <c r="E36" i="3"/>
  <c r="E40" i="3"/>
  <c r="E28" i="3"/>
  <c r="E30" i="3"/>
  <c r="J36" i="3"/>
  <c r="D21" i="4"/>
  <c r="F34" i="3"/>
  <c r="F36" i="3"/>
  <c r="J34" i="3"/>
  <c r="I34" i="3"/>
  <c r="F2" i="6"/>
  <c r="J28" i="3"/>
  <c r="J5" i="4"/>
  <c r="I30" i="3"/>
  <c r="G2" i="6"/>
  <c r="J30" i="3"/>
  <c r="I28" i="3"/>
  <c r="I40" i="3"/>
  <c r="B17" i="4"/>
  <c r="C17" i="4"/>
  <c r="J40" i="3"/>
  <c r="B18" i="4"/>
  <c r="G5" i="3"/>
  <c r="C18" i="4"/>
  <c r="H5" i="3"/>
  <c r="F30" i="3" l="1"/>
  <c r="F40" i="3"/>
  <c r="F49" i="3" s="1"/>
  <c r="G34" i="3"/>
  <c r="G36" i="3"/>
  <c r="G40" i="3"/>
  <c r="G28" i="3"/>
  <c r="G30" i="3"/>
  <c r="B22" i="4"/>
  <c r="B21" i="4"/>
  <c r="B24" i="4" s="1"/>
  <c r="C22" i="4"/>
  <c r="C21" i="4"/>
  <c r="I31" i="3"/>
  <c r="I49" i="3"/>
  <c r="F31" i="3"/>
  <c r="D24" i="4"/>
  <c r="E31" i="3"/>
  <c r="E49" i="3"/>
  <c r="J31" i="3"/>
  <c r="J49" i="3"/>
  <c r="H34" i="3"/>
  <c r="H36" i="3"/>
  <c r="H28" i="3"/>
  <c r="H40" i="3"/>
  <c r="H30" i="3"/>
  <c r="F3" i="6" l="1"/>
  <c r="I51" i="3"/>
  <c r="C5" i="1"/>
  <c r="I99" i="3"/>
  <c r="F5" i="6" s="1"/>
  <c r="I96" i="3"/>
  <c r="I97" i="3" s="1"/>
  <c r="G3" i="6"/>
  <c r="B9" i="6"/>
  <c r="J51" i="3"/>
  <c r="B25" i="4"/>
  <c r="A5" i="4"/>
  <c r="J95" i="3"/>
  <c r="D25" i="4"/>
  <c r="J99" i="3"/>
  <c r="E5" i="1"/>
  <c r="J96" i="3"/>
  <c r="J97" i="3" s="1"/>
  <c r="F99" i="3"/>
  <c r="C5" i="6" s="1"/>
  <c r="C3" i="6"/>
  <c r="F51" i="3"/>
  <c r="F96" i="3"/>
  <c r="F97" i="3" s="1"/>
  <c r="C24" i="4"/>
  <c r="C25" i="4" s="1"/>
  <c r="G31" i="3"/>
  <c r="G49" i="3"/>
  <c r="E99" i="3"/>
  <c r="B5" i="6" s="1"/>
  <c r="B3" i="6"/>
  <c r="E51" i="3"/>
  <c r="E96" i="3"/>
  <c r="E97" i="3" s="1"/>
  <c r="H31" i="3"/>
  <c r="H49" i="3"/>
  <c r="D9" i="6" l="1"/>
  <c r="C27" i="4"/>
  <c r="G4" i="6"/>
  <c r="B10" i="6"/>
  <c r="D5" i="4"/>
  <c r="J94" i="3"/>
  <c r="C26" i="4" s="1"/>
  <c r="D10" i="6" s="1"/>
  <c r="G5" i="1"/>
  <c r="C9" i="6"/>
  <c r="B27" i="4"/>
  <c r="B26" i="4"/>
  <c r="C10" i="6" s="1"/>
  <c r="F95" i="3"/>
  <c r="E3" i="6"/>
  <c r="H95" i="3"/>
  <c r="H51" i="3"/>
  <c r="H99" i="3"/>
  <c r="E5" i="6" s="1"/>
  <c r="H96" i="3"/>
  <c r="H97" i="3" s="1"/>
  <c r="I95" i="3"/>
  <c r="E9" i="6"/>
  <c r="D27" i="4"/>
  <c r="D26" i="4"/>
  <c r="E10" i="6" s="1"/>
  <c r="D3" i="6"/>
  <c r="G99" i="3"/>
  <c r="D5" i="6" s="1"/>
  <c r="G51" i="3"/>
  <c r="G96" i="3"/>
  <c r="G97" i="3" s="1"/>
  <c r="E95" i="3"/>
  <c r="I5" i="1"/>
  <c r="G5" i="6"/>
  <c r="G5" i="4"/>
  <c r="E4" i="6" l="1"/>
  <c r="H94" i="3"/>
  <c r="C4" i="6"/>
  <c r="F94" i="3"/>
  <c r="G95" i="3"/>
  <c r="F4" i="6"/>
  <c r="I94" i="3"/>
  <c r="B4" i="6"/>
  <c r="E94" i="3"/>
  <c r="D4" i="6" l="1"/>
  <c r="G9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 / method:
Model control
Note:
Projection control; applied to 2025-26 average attendance to set 2026-27 baseline.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 / method:
Model control
Note:
Projection control; applied to 2025-26 modeled weighted average ticket price.</t>
        </r>
      </text>
    </comment>
    <comment ref="B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 / method:
Model control
Note:
Projection control; applied to 2025-26 sponsorship estimate.</t>
        </r>
      </text>
    </comment>
    <comment ref="B8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Source / method:
Model control
Note:
Projection control; applied to 2025-26 modeled F&amp;B per-cap.</t>
        </r>
      </text>
    </comment>
    <comment ref="B9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Source / method:
Model control
Note:
Projection control; applied to 2025-26 modeled merchandise per-cap.</t>
        </r>
      </text>
    </comment>
    <comment ref="B10" authorId="0" shapeId="0" xr:uid="{00000000-0006-0000-0100-000006000000}">
      <text>
        <r>
          <rPr>
            <sz val="11"/>
            <color rgb="FF000000"/>
            <rFont val="Calibri"/>
            <family val="2"/>
          </rPr>
          <t xml:space="preserve">Source / method:
</t>
        </r>
        <r>
          <rPr>
            <sz val="11"/>
            <color rgb="FF000000"/>
            <rFont val="Calibri"/>
            <family val="2"/>
          </rPr>
          <t xml:space="preserve">Model control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Note:
</t>
        </r>
        <r>
          <rPr>
            <sz val="11"/>
            <color rgb="FF000000"/>
            <rFont val="Calibri"/>
            <family val="2"/>
          </rPr>
          <t>Projection control; applied to 2025-26 STM entry price.</t>
        </r>
      </text>
    </comment>
    <comment ref="B1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Source / method:
Model control
Note:
Projection control; applied to 2025-26 single-game floor.</t>
        </r>
      </text>
    </comment>
    <comment ref="B1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Source / method:
Model control
Note:
Projection control; applied to 2025-26 Similarweb visit estimate.</t>
        </r>
      </text>
    </comment>
    <comment ref="B13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Source / method:
https://www.hockeydb.com/stte/san-diego-gulls-11619.html
Note:
HockeyDB franchise history page for San Diego Gulls; 2026-27 projected from 2025-26 x growth control.</t>
        </r>
      </text>
    </comment>
    <comment ref="B1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Source / method:
https://www.sandiegogulls.com/news/detail/san-diego-gulls-2021-22-schedule-announced
Note:
AHL schedules and season formats; 2021-22 was 68-game season (34 home), then 72-game seasons (36 home).</t>
        </r>
      </text>
    </comment>
    <comment ref="B15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Source / method:
https://www.sandiegogulls.com/assets/doc/2021-22-San-Diego-Gulls-Media-Guide-compressed-92470e4558.pdf
Note:
Media guide hockey capacity anchor used for RevPAS.</t>
        </r>
      </text>
    </comment>
    <comment ref="B16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Source / method:
https://pechangaarenasd.com/about/
Note:
Current Pechanga Arena listed capacity.</t>
        </r>
      </text>
    </comment>
    <comment ref="B1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Source / method:
Multiple official schedule releases on sandiegogulls.com
Note:
Official yearly schedule releases.</t>
        </r>
      </text>
    </comment>
    <comment ref="B18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Source / method:
Multiple official schedule releases on sandiegogulls.com
Note:
Official yearly schedule releases.</t>
        </r>
      </text>
    </comment>
    <comment ref="B19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Source / method:
Multiple official schedule releases on sandiegogulls.com
Note:
Official yearly schedule releases; 2026-27 baseline projected mix.</t>
        </r>
      </text>
    </comment>
    <comment ref="B20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Source / method:
Multiple official schedule releases on sandiegogulls.com
Note:
Official yearly schedule releases; 2026-27 baseline projected mix.</t>
        </r>
      </text>
    </comment>
    <comment ref="B2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Source / method:
Multiple official schedule releases on sandiegogulls.com
Note:
Official yearly schedule releases / current ticket article for 2025-26.</t>
        </r>
      </text>
    </comment>
    <comment ref="B22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Source / method:
Multiple official promo releases on sandiegogulls.com
Note:
Official promo schedule releases; 2025-26 uses 8 anniversary nights + 20 additional promotional nights. 2026-27 projected modest expansion.</t>
        </r>
      </text>
    </comment>
    <comment ref="B23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Source / method:
Multiple official promo releases on sandiegogulls.com
Note:
Official promo schedule releases; 2025-26 currently lists five announced giveaways.</t>
        </r>
      </text>
    </comment>
    <comment ref="B2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Source / method:
Multiple official promo releases on sandiegogulls.com
Note:
Official promo schedule releases; 2026-27 projected modest expansion.</t>
        </r>
      </text>
    </comment>
    <comment ref="B25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Source / method:
Multiple official ticketing releases on sandiegogulls.com
Note:
Official Gulls Elite / schedule / home opener releases.</t>
        </r>
      </text>
    </comment>
    <comment ref="B26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Source / method:
Multiple official ticketing releases on sandiegogulls.com
Note:
2021, 2022, 2023, 2025 are from official ticket on-sale articles; 2024-25 interpolated estimate because official 2024 floor was not captured in reviewed sources.</t>
        </r>
      </text>
    </comment>
    <comment ref="B27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Source / method:
https://www.sandiegogulls.com/news/detail/single-game-tickets-available-now
Note:
2025-26 official online floor incl. fees; 2024-25 and 2026-27 are modeled estimates around current fee architecture.</t>
        </r>
      </text>
    </comment>
    <comment ref="B28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Source / method:
https://www.sandiegogulls.com/tickets/college
Note:
Official college ticket page current season; 2026-27 projected mild inflation.</t>
        </r>
      </text>
    </comment>
    <comment ref="B29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Source / method:
https://www.sandiegogulls.com/tickets/4-packs
Note:
Official current family pack page; used as current merchandising/ticket bundle anchor.</t>
        </r>
      </text>
    </comment>
    <comment ref="B30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Source / method:
https://www.sandiegogulls.com/tickets/group-tickets
Note:
Official group page current; assumed stable historically.</t>
        </r>
      </text>
    </comment>
    <comment ref="B3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Source / method:
https://www.sandiegogulls.com/tickets/gulls-mini-plans
Note:
Current mini-plan discounts are public; older-year values are conservative modeled placeholders to support trend analysis.</t>
        </r>
      </text>
    </comment>
    <comment ref="B32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from STM entry floors, single-game floors, college pricing, family packs, and group/premium mix.</t>
        </r>
      </text>
    </comment>
    <comment ref="B33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Source / method:
Model methodology
Note:
Logical range based on minor-league group channel importance; used as a model driver only.</t>
        </r>
      </text>
    </comment>
    <comment ref="B34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Source / method:
Model methodology
Note:
Logical estimate of premium inventory revenue; treated as embedded within gate yield, not additive to avoid double-counting.</t>
        </r>
      </text>
    </comment>
    <comment ref="B35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from attendance, STM pricing, and minor-league ticket mix benchmarks.</t>
        </r>
      </text>
    </comment>
    <comment ref="B36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retention range based on affiliated minor-league season ticket behavior.</t>
        </r>
      </text>
    </comment>
    <comment ref="B37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gross in-building F&amp;B spend per attendee using San Diego arena pricing context and minor-league benchmarks.</t>
        </r>
      </text>
    </comment>
    <comment ref="B38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Source / method:
Model methodology
Note:
Logical commission rate placeholder because the team's actual arena F&amp;B split is private.</t>
        </r>
      </text>
    </comment>
    <comment ref="B39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per-cap merchandise spend using minor-league team-store benchmarks.</t>
        </r>
      </text>
    </comment>
    <comment ref="B40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Source / method:
https://pechangaarenasd.com/plan-your-visit/directions-parking/
Note:
Parking is event-specific and publicly listed on event pages; these are reasonable historical/current assumptions, not disclosed team averages.</t>
        </r>
      </text>
    </comment>
    <comment ref="B41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Source / method:
Model methodology
Note:
Standard event attendance transport assumption for parking yield estimation.</t>
        </r>
      </text>
    </comment>
    <comment ref="B42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Source / method:
Model methodology
Note:
No public Gulls-specific parking split was found; logical nominal team-side share only.</t>
        </r>
      </text>
    </comment>
    <comment ref="B43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total sponsorship / partner revenue based on visible inventory depth, AHL benchmarks, and partner footprint.</t>
        </r>
      </text>
    </comment>
    <comment ref="B44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anchor-partner value. Included within total sponsorship revenue.</t>
        </r>
      </text>
    </comment>
    <comment ref="B45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jersey/patch branding value. Included within total sponsorship revenue.</t>
        </r>
      </text>
    </comment>
    <comment ref="B46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'presented by' / app / social / email / owned media inventory value. Included within total sponsorship revenue.</t>
        </r>
      </text>
    </comment>
    <comment ref="B47" authorId="0" shapeId="0" xr:uid="{00000000-0006-0000-0100-00002B000000}">
      <text>
        <r>
          <rPr>
            <sz val="11"/>
            <color theme="1"/>
            <rFont val="Calibri"/>
            <family val="2"/>
            <scheme val="minor"/>
          </rPr>
          <t>Source / method:
https://theahl.com/news/ahl-flosports-partnership-extension
Note:
Modeled local TV + streaming share value; AHLTV / FloHockey is league-managed.</t>
        </r>
      </text>
    </comment>
    <comment ref="B48" authorId="0" shapeId="0" xr:uid="{00000000-0006-0000-0100-00002C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active owned-email scale using team digital footprint and typical sports CRM penetration.</t>
        </r>
      </text>
    </comment>
    <comment ref="B49" authorId="0" shapeId="0" xr:uid="{00000000-0006-0000-0100-00002D000000}">
      <text>
        <r>
          <rPr>
            <sz val="11"/>
            <color theme="1"/>
            <rFont val="Calibri"/>
            <family val="2"/>
            <scheme val="minor"/>
          </rPr>
          <t>Source / method:
Multiple public social snippets
Note:
Estimated aggregate audience across major social platforms; current public footprint includes roughly 79K Instagram, 30K X, 15K TikTok plus Facebook audience.</t>
        </r>
      </text>
    </comment>
    <comment ref="B50" authorId="0" shapeId="0" xr:uid="{00000000-0006-0000-0100-00002E000000}">
      <text>
        <r>
          <rPr>
            <sz val="11"/>
            <color theme="1"/>
            <rFont val="Calibri"/>
            <family val="2"/>
            <scheme val="minor"/>
          </rPr>
          <t>Source / method:
https://www.similarweb.com/website/sandiegogulls.com/
Note:
Similarweb estimate used for current-year anchor; earlier years trended conservatively.</t>
        </r>
      </text>
    </comment>
    <comment ref="B51" authorId="0" shapeId="0" xr:uid="{00000000-0006-0000-0100-00002F000000}">
      <text>
        <r>
          <rPr>
            <sz val="11"/>
            <color theme="1"/>
            <rFont val="Calibri"/>
            <family val="2"/>
            <scheme val="minor"/>
          </rPr>
          <t>Source / method:
https://www.similarweb.com/website/sandiegogulls.com/
Note:
Similarweb estimate anchor for current-year and trended historical/projection values.</t>
        </r>
      </text>
    </comment>
    <comment ref="B52" authorId="0" shapeId="0" xr:uid="{00000000-0006-0000-0100-000030000000}">
      <text>
        <r>
          <rPr>
            <sz val="11"/>
            <color theme="1"/>
            <rFont val="Calibri"/>
            <family val="2"/>
            <scheme val="minor"/>
          </rPr>
          <t>Source / method:
https://www.similarweb.com/website/sandiegogulls.com/
Note:
Similarweb estimate anchor for current-year and trended historical/projection values.</t>
        </r>
      </text>
    </comment>
    <comment ref="B53" authorId="0" shapeId="0" xr:uid="{00000000-0006-0000-0100-000031000000}">
      <text>
        <r>
          <rPr>
            <sz val="11"/>
            <color theme="1"/>
            <rFont val="Calibri"/>
            <family val="2"/>
            <scheme val="minor"/>
          </rPr>
          <t>Source / method:
https://www.similarweb.com/website/sandiegogulls.com/
Note:
Similarweb estimate anchor for current-year and trended historical/projection values.</t>
        </r>
      </text>
    </comment>
    <comment ref="B54" authorId="0" shapeId="0" xr:uid="{00000000-0006-0000-0100-000032000000}">
      <text>
        <r>
          <rPr>
            <sz val="11"/>
            <color theme="1"/>
            <rFont val="Calibri"/>
            <family val="2"/>
            <scheme val="minor"/>
          </rPr>
          <t>Source / method:
https://www.similarweb.com/website/sandiegogulls.com/
Note:
Similarweb estimate anchor for current-year and trended historical/projection values.</t>
        </r>
      </text>
    </comment>
    <comment ref="B55" authorId="0" shapeId="0" xr:uid="{00000000-0006-0000-0100-000033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CAC based on digital footprint and minor-league paid media economics.</t>
        </r>
      </text>
    </comment>
    <comment ref="B56" authorId="0" shapeId="0" xr:uid="{00000000-0006-0000-0100-000034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fan-sentiment proxy; not an official survey result.</t>
        </r>
      </text>
    </comment>
    <comment ref="B57" authorId="0" shapeId="0" xr:uid="{00000000-0006-0000-0100-000035000000}">
      <text>
        <r>
          <rPr>
            <sz val="11"/>
            <color theme="1"/>
            <rFont val="Calibri"/>
            <family val="2"/>
            <scheme val="minor"/>
          </rPr>
          <t>Source / method:
Lease-era reporting / model assumption
Note:
Modeled from current lease-era surcharge structure discussed in public reporting; pre-lease years not confirmed.</t>
        </r>
      </text>
    </comment>
    <comment ref="B58" authorId="0" shapeId="0" xr:uid="{00000000-0006-0000-0100-000036000000}">
      <text>
        <r>
          <rPr>
            <sz val="11"/>
            <color theme="1"/>
            <rFont val="Calibri"/>
            <family val="2"/>
            <scheme val="minor"/>
          </rPr>
          <t>Source / method:
https://www.lee-associates.com/elee/utc/newsletter/091224/article3.pdf
Note:
Public arena-level lease floor for operator; team sublease economics are not public. 2026-27 assumes ~2% step-up.</t>
        </r>
      </text>
    </comment>
    <comment ref="B59" authorId="0" shapeId="0" xr:uid="{00000000-0006-0000-0100-000037000000}">
      <text>
        <r>
          <rPr>
            <sz val="11"/>
            <color theme="1"/>
            <rFont val="Calibri"/>
            <family val="2"/>
            <scheme val="minor"/>
          </rPr>
          <t>Source / method:
Lease-era reporting / model assumption
Note:
Derived from annualized minimum rent floor progression.</t>
        </r>
      </text>
    </comment>
    <comment ref="B60" authorId="0" shapeId="0" xr:uid="{00000000-0006-0000-0100-000038000000}">
      <text>
        <r>
          <rPr>
            <sz val="11"/>
            <color theme="1"/>
            <rFont val="Calibri"/>
            <family val="2"/>
            <scheme val="minor"/>
          </rPr>
          <t>Source / method:
https://www.sandiego.gov/sites/default/files/specialeventsopsmanual2020.pdf
Note:
Modeled event security cost using city event-policing framework and arena setting.</t>
        </r>
      </text>
    </comment>
    <comment ref="B61" authorId="0" shapeId="0" xr:uid="{00000000-0006-0000-0100-000039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annual utilities / ice / cooling cost allocation for hockey dates.</t>
        </r>
      </text>
    </comment>
    <comment ref="B62" authorId="0" shapeId="0" xr:uid="{00000000-0006-0000-0100-00003A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annual conversion cost allocation for a mixed-use arena.</t>
        </r>
      </text>
    </comment>
    <comment ref="B63" authorId="0" shapeId="0" xr:uid="{00000000-0006-0000-0100-00003B000000}">
      <text>
        <r>
          <rPr>
            <sz val="11"/>
            <color theme="1"/>
            <rFont val="Calibri"/>
            <family val="2"/>
            <scheme val="minor"/>
          </rPr>
          <t>Source / method:
Public review
Note:
No public team-side assessment identified in reviewed materials.</t>
        </r>
      </text>
    </comment>
    <comment ref="B64" authorId="0" shapeId="0" xr:uid="{00000000-0006-0000-0100-00003C000000}">
      <text>
        <r>
          <rPr>
            <sz val="11"/>
            <color theme="1"/>
            <rFont val="Calibri"/>
            <family val="2"/>
            <scheme val="minor"/>
          </rPr>
          <t>Source / method:
https://www.sandiego.gov/economic-development/real-estate/midway-rising
Note:
Directional planning metric keyed to interim lease / redevelopment timeline, not a legal opinion.</t>
        </r>
      </text>
    </comment>
    <comment ref="B65" authorId="0" shapeId="0" xr:uid="{00000000-0006-0000-0100-00003D000000}">
      <text>
        <r>
          <rPr>
            <sz val="11"/>
            <color theme="1"/>
            <rFont val="Calibri"/>
            <family val="2"/>
            <scheme val="minor"/>
          </rPr>
          <t>Source / method:
Model methodology
Note:
Logical annual value attributed to team operations from arena-level naming-rights ecosystem; not publicly disclosed by team.</t>
        </r>
      </text>
    </comment>
    <comment ref="B66" authorId="0" shapeId="0" xr:uid="{00000000-0006-0000-0100-00003E000000}">
      <text>
        <r>
          <rPr>
            <sz val="11"/>
            <color theme="1"/>
            <rFont val="Calibri"/>
            <family val="2"/>
            <scheme val="minor"/>
          </rPr>
          <t>Source / method:
Model methodology
Note:
Logical placeholder for local tax / business filing burden; not publicly disclosed.</t>
        </r>
      </text>
    </comment>
    <comment ref="B67" authorId="0" shapeId="0" xr:uid="{00000000-0006-0000-0100-00003F000000}">
      <text>
        <r>
          <rPr>
            <sz val="11"/>
            <color theme="1"/>
            <rFont val="Calibri"/>
            <family val="2"/>
            <scheme val="minor"/>
          </rPr>
          <t>Source / method:
Model methodology
Note:
No public debt structure found; nominal placeholder only.</t>
        </r>
      </text>
    </comment>
    <comment ref="B68" authorId="0" shapeId="0" xr:uid="{00000000-0006-0000-0100-000040000000}">
      <text>
        <r>
          <rPr>
            <sz val="11"/>
            <color theme="1"/>
            <rFont val="Calibri"/>
            <family val="2"/>
            <scheme val="minor"/>
          </rPr>
          <t>Source / method:
Multiple official roster/game notes sources
Note:
Opening night / current roster anchors from official materials and current roster page.</t>
        </r>
      </text>
    </comment>
    <comment ref="B69" authorId="0" shapeId="0" xr:uid="{00000000-0006-0000-0100-000041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head coach + assistants + video support payroll for NHL-owned AHL team.</t>
        </r>
      </text>
    </comment>
    <comment ref="B70" authorId="0" shapeId="0" xr:uid="{00000000-0006-0000-0100-000042000000}">
      <text>
        <r>
          <rPr>
            <sz val="11"/>
            <color theme="1"/>
            <rFont val="Calibri"/>
            <family val="2"/>
            <scheme val="minor"/>
          </rPr>
          <t>Source / method:
https://www.linkedin.com/company/san-diego-gulls
Note:
Estimated from official front-office listings and LinkedIn company-size context.</t>
        </r>
      </text>
    </comment>
    <comment ref="B71" authorId="0" shapeId="0" xr:uid="{00000000-0006-0000-0100-000043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training / recovery / sports science spend allocation.</t>
        </r>
      </text>
    </comment>
    <comment ref="B72" authorId="0" shapeId="0" xr:uid="{00000000-0006-0000-0100-000044000000}">
      <text>
        <r>
          <rPr>
            <sz val="11"/>
            <color theme="1"/>
            <rFont val="Calibri"/>
            <family val="2"/>
            <scheme val="minor"/>
          </rPr>
          <t>Source / method:
Model methodology
Note:
Share of road schedule requiring flights or long-haul travel rather than short bus trips.</t>
        </r>
      </text>
    </comment>
    <comment ref="B73" authorId="0" shapeId="0" xr:uid="{00000000-0006-0000-0100-000045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housing stipend / support budget for San Diego market.</t>
        </r>
      </text>
    </comment>
    <comment ref="B74" authorId="0" shapeId="0" xr:uid="{00000000-0006-0000-0100-000046000000}">
      <text>
        <r>
          <rPr>
            <sz val="11"/>
            <color theme="1"/>
            <rFont val="Calibri"/>
            <family val="2"/>
            <scheme val="minor"/>
          </rPr>
          <t>Source / method:
https://phpa.com/site/agreements
Note:
Public PHPA minimum visible for 2024-25; other years benchmarked / stepped.</t>
        </r>
      </text>
    </comment>
    <comment ref="B75" authorId="0" shapeId="0" xr:uid="{00000000-0006-0000-0100-000047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non-NHL-contracted average salary.</t>
        </r>
      </text>
    </comment>
    <comment ref="B76" authorId="0" shapeId="0" xr:uid="{00000000-0006-0000-0100-000048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workers' comp / liability / sports risk coverage allocation.</t>
        </r>
      </text>
    </comment>
    <comment ref="B77" authorId="0" shapeId="0" xr:uid="{00000000-0006-0000-0100-000049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annual equipment budget.</t>
        </r>
      </text>
    </comment>
    <comment ref="B78" authorId="0" shapeId="0" xr:uid="{00000000-0006-0000-0100-00004A000000}">
      <text>
        <r>
          <rPr>
            <sz val="11"/>
            <color theme="1"/>
            <rFont val="Calibri"/>
            <family val="2"/>
            <scheme val="minor"/>
          </rPr>
          <t>Source / method:
Multiple official roster/game notes sources
Note:
Approximate Ducks-controlled development pipeline count; 2024 opening-night game notes cited nine drafted players.</t>
        </r>
      </text>
    </comment>
    <comment ref="B79" authorId="0" shapeId="0" xr:uid="{00000000-0006-0000-0100-00004B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payroll / hockey ops support absorbed by Anaheim Ducks in NHL-owned affiliate structure.</t>
        </r>
      </text>
    </comment>
    <comment ref="B80" authorId="0" shapeId="0" xr:uid="{00000000-0006-0000-0100-00004C000000}">
      <text>
        <r>
          <rPr>
            <sz val="11"/>
            <color theme="1"/>
            <rFont val="Calibri"/>
            <family val="2"/>
            <scheme val="minor"/>
          </rPr>
          <t>Source / method:
Model methodology
Note:
Logical direct youth / grassroots revenue estimate attributable to club ecosystem.</t>
        </r>
      </text>
    </comment>
    <comment ref="B81" authorId="0" shapeId="0" xr:uid="{00000000-0006-0000-0100-00004D000000}">
      <text>
        <r>
          <rPr>
            <sz val="11"/>
            <color theme="1"/>
            <rFont val="Calibri"/>
            <family val="2"/>
            <scheme val="minor"/>
          </rPr>
          <t>Source / method:
https://www.sandiegogulls.com/community/foundation
Note:
Logical asset placeholder; foundation has publicly contributed over $1 million cumulatively but does not disclose current balance here.</t>
        </r>
      </text>
    </comment>
    <comment ref="B82" authorId="0" shapeId="0" xr:uid="{00000000-0006-0000-0100-00004E000000}">
      <text>
        <r>
          <rPr>
            <sz val="11"/>
            <color theme="1"/>
            <rFont val="Calibri"/>
            <family val="2"/>
            <scheme val="minor"/>
          </rPr>
          <t>Source / method:
Model methodology
Note:
Modeled cross-promotional / Ducks ecosystem value.</t>
        </r>
      </text>
    </comment>
    <comment ref="B83" authorId="0" shapeId="0" xr:uid="{00000000-0006-0000-0100-00004F000000}">
      <text>
        <r>
          <rPr>
            <sz val="11"/>
            <color rgb="FF000000"/>
            <rFont val="Calibri"/>
            <family val="2"/>
          </rPr>
          <t xml:space="preserve">Source / method:
</t>
        </r>
        <r>
          <rPr>
            <sz val="11"/>
            <color rgb="FF000000"/>
            <rFont val="Calibri"/>
            <family val="2"/>
          </rPr>
          <t xml:space="preserve">Model methodology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Note:
</t>
        </r>
        <r>
          <rPr>
            <sz val="11"/>
            <color rgb="FF000000"/>
            <rFont val="Calibri"/>
            <family val="2"/>
          </rPr>
          <t>Logical brand-asset valuation placeholder.</t>
        </r>
      </text>
    </comment>
    <comment ref="B84" authorId="0" shapeId="0" xr:uid="{00000000-0006-0000-0100-000050000000}">
      <text>
        <r>
          <rPr>
            <sz val="11"/>
            <color theme="1"/>
            <rFont val="Calibri"/>
            <family val="2"/>
            <scheme val="minor"/>
          </rPr>
          <t>Source / method:
Model control
Note:
User-directed valuation multiple.</t>
        </r>
      </text>
    </comment>
    <comment ref="B85" authorId="0" shapeId="0" xr:uid="{00000000-0006-0000-0100-000051000000}">
      <text>
        <r>
          <rPr>
            <sz val="11"/>
            <color theme="1"/>
            <rFont val="Calibri"/>
            <family val="2"/>
            <scheme val="minor"/>
          </rPr>
          <t>Source / method:
Model control
Note:
User-directed valuation heuristic.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2" authorId="0" shapeId="0" xr:uid="{00000000-0006-0000-0400-000001000000}">
      <text>
        <r>
          <rPr>
            <sz val="11"/>
            <color rgb="FF000000"/>
            <rFont val="Calibri"/>
            <family val="2"/>
          </rPr>
          <t>Projection control; applied to 2025-26 average attendance to set 2026-27 baseline.</t>
        </r>
      </text>
    </comment>
    <comment ref="A3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Projection control; applied to 2025-26 modeled weighted average ticket price.</t>
        </r>
      </text>
    </comment>
    <comment ref="A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Projection control; applied to 2025-26 sponsorship estimate.</t>
        </r>
      </text>
    </comment>
    <comment ref="A5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Projection control; applied to 2025-26 modeled F&amp;B per-cap.</t>
        </r>
      </text>
    </comment>
    <comment ref="A6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Projection control; applied to 2025-26 modeled merchandise per-cap.</t>
        </r>
      </text>
    </comment>
    <comment ref="A7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Projection control; applied to 2025-26 STM entry price.</t>
        </r>
      </text>
    </comment>
    <comment ref="A8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Projection control; applied to 2025-26 single-game floor.</t>
        </r>
      </text>
    </comment>
    <comment ref="A9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Projection control; applied to 2025-26 Similarweb visit estimate.</t>
        </r>
      </text>
    </comment>
    <comment ref="A10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HockeyDB franchise history page for San Diego Gulls; 2026-27 projected from 2025-26 x growth control.</t>
        </r>
      </text>
    </comment>
    <comment ref="A11" authorId="0" shapeId="0" xr:uid="{00000000-0006-0000-0400-00000A000000}">
      <text>
        <r>
          <rPr>
            <sz val="11"/>
            <color theme="1"/>
            <rFont val="Calibri"/>
            <family val="2"/>
            <scheme val="minor"/>
          </rPr>
          <t>AHL schedules and season formats; 2021-22 was 68-game season (34 home), then 72-game seasons (36 home).</t>
        </r>
      </text>
    </comment>
    <comment ref="A12" authorId="0" shapeId="0" xr:uid="{00000000-0006-0000-0400-00000B000000}">
      <text>
        <r>
          <rPr>
            <sz val="11"/>
            <color theme="1"/>
            <rFont val="Calibri"/>
            <family val="2"/>
            <scheme val="minor"/>
          </rPr>
          <t>Media guide hockey capacity anchor used for RevPAS.</t>
        </r>
      </text>
    </comment>
    <comment ref="A13" authorId="0" shapeId="0" xr:uid="{00000000-0006-0000-0400-00000C000000}">
      <text>
        <r>
          <rPr>
            <sz val="11"/>
            <color theme="1"/>
            <rFont val="Calibri"/>
            <family val="2"/>
            <scheme val="minor"/>
          </rPr>
          <t>Current Pechanga Arena listed capacity.</t>
        </r>
      </text>
    </comment>
    <comment ref="A14" authorId="0" shapeId="0" xr:uid="{00000000-0006-0000-0400-00000D000000}">
      <text>
        <r>
          <rPr>
            <sz val="11"/>
            <color theme="1"/>
            <rFont val="Calibri"/>
            <family val="2"/>
            <scheme val="minor"/>
          </rPr>
          <t>Official yearly schedule releases.</t>
        </r>
      </text>
    </comment>
    <comment ref="A15" authorId="0" shapeId="0" xr:uid="{00000000-0006-0000-0400-00000E000000}">
      <text>
        <r>
          <rPr>
            <sz val="11"/>
            <color theme="1"/>
            <rFont val="Calibri"/>
            <family val="2"/>
            <scheme val="minor"/>
          </rPr>
          <t>Official yearly schedule releases.</t>
        </r>
      </text>
    </comment>
    <comment ref="A16" authorId="0" shapeId="0" xr:uid="{00000000-0006-0000-0400-00000F000000}">
      <text>
        <r>
          <rPr>
            <sz val="11"/>
            <color theme="1"/>
            <rFont val="Calibri"/>
            <family val="2"/>
            <scheme val="minor"/>
          </rPr>
          <t>Official yearly schedule releases; 2026-27 baseline projected mix.</t>
        </r>
      </text>
    </comment>
    <comment ref="A17" authorId="0" shapeId="0" xr:uid="{00000000-0006-0000-0400-000010000000}">
      <text>
        <r>
          <rPr>
            <sz val="11"/>
            <color theme="1"/>
            <rFont val="Calibri"/>
            <family val="2"/>
            <scheme val="minor"/>
          </rPr>
          <t>Official yearly schedule releases; 2026-27 baseline projected mix.</t>
        </r>
      </text>
    </comment>
    <comment ref="A18" authorId="0" shapeId="0" xr:uid="{00000000-0006-0000-0400-000011000000}">
      <text>
        <r>
          <rPr>
            <sz val="11"/>
            <color theme="1"/>
            <rFont val="Calibri"/>
            <family val="2"/>
            <scheme val="minor"/>
          </rPr>
          <t>Official yearly schedule releases / current ticket article for 2025-26.</t>
        </r>
      </text>
    </comment>
    <comment ref="A19" authorId="0" shapeId="0" xr:uid="{00000000-0006-0000-0400-000012000000}">
      <text>
        <r>
          <rPr>
            <sz val="11"/>
            <color theme="1"/>
            <rFont val="Calibri"/>
            <family val="2"/>
            <scheme val="minor"/>
          </rPr>
          <t>Official promo schedule releases; 2025-26 uses 8 anniversary nights + 20 additional promotional nights. 2026-27 projected modest expansion.</t>
        </r>
      </text>
    </comment>
    <comment ref="A20" authorId="0" shapeId="0" xr:uid="{00000000-0006-0000-0400-000013000000}">
      <text>
        <r>
          <rPr>
            <sz val="11"/>
            <color theme="1"/>
            <rFont val="Calibri"/>
            <family val="2"/>
            <scheme val="minor"/>
          </rPr>
          <t>Official promo schedule releases; 2025-26 currently lists five announced giveaways.</t>
        </r>
      </text>
    </comment>
    <comment ref="A21" authorId="0" shapeId="0" xr:uid="{00000000-0006-0000-0400-000014000000}">
      <text>
        <r>
          <rPr>
            <sz val="11"/>
            <color theme="1"/>
            <rFont val="Calibri"/>
            <family val="2"/>
            <scheme val="minor"/>
          </rPr>
          <t>Official promo schedule releases; 2026-27 projected modest expansion.</t>
        </r>
      </text>
    </comment>
    <comment ref="A22" authorId="0" shapeId="0" xr:uid="{00000000-0006-0000-0400-000015000000}">
      <text>
        <r>
          <rPr>
            <sz val="11"/>
            <color theme="1"/>
            <rFont val="Calibri"/>
            <family val="2"/>
            <scheme val="minor"/>
          </rPr>
          <t>Official Gulls Elite / schedule / home opener releases.</t>
        </r>
      </text>
    </comment>
    <comment ref="A23" authorId="0" shapeId="0" xr:uid="{00000000-0006-0000-0400-000016000000}">
      <text>
        <r>
          <rPr>
            <sz val="11"/>
            <color theme="1"/>
            <rFont val="Calibri"/>
            <family val="2"/>
            <scheme val="minor"/>
          </rPr>
          <t>2021, 2022, 2023, 2025 are from official ticket on-sale articles; 2024-25 interpolated estimate because official 2024 floor was not captured in reviewed sources.</t>
        </r>
      </text>
    </comment>
    <comment ref="A24" authorId="0" shapeId="0" xr:uid="{00000000-0006-0000-0400-000017000000}">
      <text>
        <r>
          <rPr>
            <sz val="11"/>
            <color theme="1"/>
            <rFont val="Calibri"/>
            <family val="2"/>
            <scheme val="minor"/>
          </rPr>
          <t>2025-26 official online floor incl. fees; 2024-25 and 2026-27 are modeled estimates around current fee architecture.</t>
        </r>
      </text>
    </comment>
    <comment ref="A25" authorId="0" shapeId="0" xr:uid="{00000000-0006-0000-0400-000018000000}">
      <text>
        <r>
          <rPr>
            <sz val="11"/>
            <color theme="1"/>
            <rFont val="Calibri"/>
            <family val="2"/>
            <scheme val="minor"/>
          </rPr>
          <t>Official college ticket page current season; 2026-27 projected mild inflation.</t>
        </r>
      </text>
    </comment>
    <comment ref="A26" authorId="0" shapeId="0" xr:uid="{00000000-0006-0000-0400-000019000000}">
      <text>
        <r>
          <rPr>
            <sz val="11"/>
            <color theme="1"/>
            <rFont val="Calibri"/>
            <family val="2"/>
            <scheme val="minor"/>
          </rPr>
          <t>Official current family pack page; used as current merchandising/ticket bundle anchor.</t>
        </r>
      </text>
    </comment>
    <comment ref="A27" authorId="0" shapeId="0" xr:uid="{00000000-0006-0000-0400-00001A000000}">
      <text>
        <r>
          <rPr>
            <sz val="11"/>
            <color theme="1"/>
            <rFont val="Calibri"/>
            <family val="2"/>
            <scheme val="minor"/>
          </rPr>
          <t>Official group page current; assumed stable historically.</t>
        </r>
      </text>
    </comment>
    <comment ref="A28" authorId="0" shapeId="0" xr:uid="{00000000-0006-0000-0400-00001B000000}">
      <text>
        <r>
          <rPr>
            <sz val="11"/>
            <color theme="1"/>
            <rFont val="Calibri"/>
            <family val="2"/>
            <scheme val="minor"/>
          </rPr>
          <t>Current mini-plan discounts are public; older-year values are conservative modeled placeholders to support trend analysis.</t>
        </r>
      </text>
    </comment>
    <comment ref="A29" authorId="0" shapeId="0" xr:uid="{00000000-0006-0000-0400-00001C000000}">
      <text>
        <r>
          <rPr>
            <sz val="11"/>
            <color theme="1"/>
            <rFont val="Calibri"/>
            <family val="2"/>
            <scheme val="minor"/>
          </rPr>
          <t>Modeled from STM entry floors, single-game floors, college pricing, family packs, and group/premium mix.</t>
        </r>
      </text>
    </comment>
    <comment ref="A30" authorId="0" shapeId="0" xr:uid="{00000000-0006-0000-0400-00001D000000}">
      <text>
        <r>
          <rPr>
            <sz val="11"/>
            <color theme="1"/>
            <rFont val="Calibri"/>
            <family val="2"/>
            <scheme val="minor"/>
          </rPr>
          <t>Logical range based on minor-league group channel importance; used as a model driver only.</t>
        </r>
      </text>
    </comment>
    <comment ref="A31" authorId="0" shapeId="0" xr:uid="{00000000-0006-0000-0400-00001E000000}">
      <text>
        <r>
          <rPr>
            <sz val="11"/>
            <color theme="1"/>
            <rFont val="Calibri"/>
            <family val="2"/>
            <scheme val="minor"/>
          </rPr>
          <t>Logical estimate of premium inventory revenue; treated as embedded within gate yield, not additive to avoid double-counting.</t>
        </r>
      </text>
    </comment>
    <comment ref="A32" authorId="0" shapeId="0" xr:uid="{00000000-0006-0000-0400-00001F000000}">
      <text>
        <r>
          <rPr>
            <sz val="11"/>
            <color theme="1"/>
            <rFont val="Calibri"/>
            <family val="2"/>
            <scheme val="minor"/>
          </rPr>
          <t>Modeled from attendance, STM pricing, and minor-league ticket mix benchmarks.</t>
        </r>
      </text>
    </comment>
    <comment ref="A33" authorId="0" shapeId="0" xr:uid="{00000000-0006-0000-0400-000020000000}">
      <text>
        <r>
          <rPr>
            <sz val="11"/>
            <color theme="1"/>
            <rFont val="Calibri"/>
            <family val="2"/>
            <scheme val="minor"/>
          </rPr>
          <t>Modeled retention range based on affiliated minor-league season ticket behavior.</t>
        </r>
      </text>
    </comment>
    <comment ref="A34" authorId="0" shapeId="0" xr:uid="{00000000-0006-0000-0400-000021000000}">
      <text>
        <r>
          <rPr>
            <sz val="11"/>
            <color theme="1"/>
            <rFont val="Calibri"/>
            <family val="2"/>
            <scheme val="minor"/>
          </rPr>
          <t>Modeled gross in-building F&amp;B spend per attendee using San Diego arena pricing context and minor-league benchmarks.</t>
        </r>
      </text>
    </comment>
    <comment ref="A35" authorId="0" shapeId="0" xr:uid="{00000000-0006-0000-0400-000022000000}">
      <text>
        <r>
          <rPr>
            <sz val="11"/>
            <color theme="1"/>
            <rFont val="Calibri"/>
            <family val="2"/>
            <scheme val="minor"/>
          </rPr>
          <t>Logical commission rate placeholder because the team's actual arena F&amp;B split is private.</t>
        </r>
      </text>
    </comment>
    <comment ref="A36" authorId="0" shapeId="0" xr:uid="{00000000-0006-0000-0400-000023000000}">
      <text>
        <r>
          <rPr>
            <sz val="11"/>
            <color theme="1"/>
            <rFont val="Calibri"/>
            <family val="2"/>
            <scheme val="minor"/>
          </rPr>
          <t>Modeled per-cap merchandise spend using minor-league team-store benchmarks.</t>
        </r>
      </text>
    </comment>
    <comment ref="A37" authorId="0" shapeId="0" xr:uid="{00000000-0006-0000-0400-000024000000}">
      <text>
        <r>
          <rPr>
            <sz val="11"/>
            <color theme="1"/>
            <rFont val="Calibri"/>
            <family val="2"/>
            <scheme val="minor"/>
          </rPr>
          <t>Parking is event-specific and publicly listed on event pages; these are reasonable historical/current assumptions, not disclosed team averages.</t>
        </r>
      </text>
    </comment>
    <comment ref="A38" authorId="0" shapeId="0" xr:uid="{00000000-0006-0000-0400-000025000000}">
      <text>
        <r>
          <rPr>
            <sz val="11"/>
            <color theme="1"/>
            <rFont val="Calibri"/>
            <family val="2"/>
            <scheme val="minor"/>
          </rPr>
          <t>Standard event attendance transport assumption for parking yield estimation.</t>
        </r>
      </text>
    </comment>
    <comment ref="A39" authorId="0" shapeId="0" xr:uid="{00000000-0006-0000-0400-000026000000}">
      <text>
        <r>
          <rPr>
            <sz val="11"/>
            <color theme="1"/>
            <rFont val="Calibri"/>
            <family val="2"/>
            <scheme val="minor"/>
          </rPr>
          <t>No public Gulls-specific parking split was found; logical nominal team-side share only.</t>
        </r>
      </text>
    </comment>
    <comment ref="A40" authorId="0" shapeId="0" xr:uid="{00000000-0006-0000-0400-000027000000}">
      <text>
        <r>
          <rPr>
            <sz val="11"/>
            <color theme="1"/>
            <rFont val="Calibri"/>
            <family val="2"/>
            <scheme val="minor"/>
          </rPr>
          <t>Modeled total sponsorship / partner revenue based on visible inventory depth, AHL benchmarks, and partner footprint.</t>
        </r>
      </text>
    </comment>
    <comment ref="A41" authorId="0" shapeId="0" xr:uid="{00000000-0006-0000-0400-000028000000}">
      <text>
        <r>
          <rPr>
            <sz val="11"/>
            <color theme="1"/>
            <rFont val="Calibri"/>
            <family val="2"/>
            <scheme val="minor"/>
          </rPr>
          <t>Modeled anchor-partner value. Included within total sponsorship revenue.</t>
        </r>
      </text>
    </comment>
    <comment ref="A42" authorId="0" shapeId="0" xr:uid="{00000000-0006-0000-0400-000029000000}">
      <text>
        <r>
          <rPr>
            <sz val="11"/>
            <color theme="1"/>
            <rFont val="Calibri"/>
            <family val="2"/>
            <scheme val="minor"/>
          </rPr>
          <t>Modeled jersey/patch branding value. Included within total sponsorship revenue.</t>
        </r>
      </text>
    </comment>
    <comment ref="A43" authorId="0" shapeId="0" xr:uid="{00000000-0006-0000-0400-00002A000000}">
      <text>
        <r>
          <rPr>
            <sz val="11"/>
            <color theme="1"/>
            <rFont val="Calibri"/>
            <family val="2"/>
            <scheme val="minor"/>
          </rPr>
          <t>Modeled 'presented by' / app / social / email / owned media inventory value. Included within total sponsorship revenue.</t>
        </r>
      </text>
    </comment>
    <comment ref="A44" authorId="0" shapeId="0" xr:uid="{00000000-0006-0000-0400-00002B000000}">
      <text>
        <r>
          <rPr>
            <sz val="11"/>
            <color theme="1"/>
            <rFont val="Calibri"/>
            <family val="2"/>
            <scheme val="minor"/>
          </rPr>
          <t>Modeled local TV + streaming share value; AHLTV / FloHockey is league-managed.</t>
        </r>
      </text>
    </comment>
    <comment ref="A45" authorId="0" shapeId="0" xr:uid="{00000000-0006-0000-0400-00002C000000}">
      <text>
        <r>
          <rPr>
            <sz val="11"/>
            <color theme="1"/>
            <rFont val="Calibri"/>
            <family val="2"/>
            <scheme val="minor"/>
          </rPr>
          <t>Modeled active owned-email scale using team digital footprint and typical sports CRM penetration.</t>
        </r>
      </text>
    </comment>
    <comment ref="A46" authorId="0" shapeId="0" xr:uid="{00000000-0006-0000-0400-00002D000000}">
      <text>
        <r>
          <rPr>
            <sz val="11"/>
            <color theme="1"/>
            <rFont val="Calibri"/>
            <family val="2"/>
            <scheme val="minor"/>
          </rPr>
          <t>Estimated aggregate audience across major social platforms; current public footprint includes roughly 79K Instagram, 30K X, 15K TikTok plus Facebook audience.</t>
        </r>
      </text>
    </comment>
    <comment ref="A47" authorId="0" shapeId="0" xr:uid="{00000000-0006-0000-0400-00002E000000}">
      <text>
        <r>
          <rPr>
            <sz val="11"/>
            <color theme="1"/>
            <rFont val="Calibri"/>
            <family val="2"/>
            <scheme val="minor"/>
          </rPr>
          <t>Similarweb estimate used for current-year anchor; earlier years trended conservatively.</t>
        </r>
      </text>
    </comment>
    <comment ref="A48" authorId="0" shapeId="0" xr:uid="{00000000-0006-0000-0400-00002F000000}">
      <text>
        <r>
          <rPr>
            <sz val="11"/>
            <color theme="1"/>
            <rFont val="Calibri"/>
            <family val="2"/>
            <scheme val="minor"/>
          </rPr>
          <t>Similarweb estimate anchor for current-year and trended historical/projection values.</t>
        </r>
      </text>
    </comment>
    <comment ref="A49" authorId="0" shapeId="0" xr:uid="{00000000-0006-0000-0400-000030000000}">
      <text>
        <r>
          <rPr>
            <sz val="11"/>
            <color theme="1"/>
            <rFont val="Calibri"/>
            <family val="2"/>
            <scheme val="minor"/>
          </rPr>
          <t>Similarweb estimate anchor for current-year and trended historical/projection values.</t>
        </r>
      </text>
    </comment>
    <comment ref="A50" authorId="0" shapeId="0" xr:uid="{00000000-0006-0000-0400-000031000000}">
      <text>
        <r>
          <rPr>
            <sz val="11"/>
            <color theme="1"/>
            <rFont val="Calibri"/>
            <family val="2"/>
            <scheme val="minor"/>
          </rPr>
          <t>Similarweb estimate anchor for current-year and trended historical/projection values.</t>
        </r>
      </text>
    </comment>
    <comment ref="A51" authorId="0" shapeId="0" xr:uid="{00000000-0006-0000-0400-000032000000}">
      <text>
        <r>
          <rPr>
            <sz val="11"/>
            <color theme="1"/>
            <rFont val="Calibri"/>
            <family val="2"/>
            <scheme val="minor"/>
          </rPr>
          <t>Similarweb estimate anchor for current-year and trended historical/projection values.</t>
        </r>
      </text>
    </comment>
    <comment ref="A52" authorId="0" shapeId="0" xr:uid="{00000000-0006-0000-0400-000033000000}">
      <text>
        <r>
          <rPr>
            <sz val="11"/>
            <color theme="1"/>
            <rFont val="Calibri"/>
            <family val="2"/>
            <scheme val="minor"/>
          </rPr>
          <t>Modeled CAC based on digital footprint and minor-league paid media economics.</t>
        </r>
      </text>
    </comment>
    <comment ref="A53" authorId="0" shapeId="0" xr:uid="{00000000-0006-0000-0400-000034000000}">
      <text>
        <r>
          <rPr>
            <sz val="11"/>
            <color theme="1"/>
            <rFont val="Calibri"/>
            <family val="2"/>
            <scheme val="minor"/>
          </rPr>
          <t>Modeled fan-sentiment proxy; not an official survey result.</t>
        </r>
      </text>
    </comment>
    <comment ref="A54" authorId="0" shapeId="0" xr:uid="{00000000-0006-0000-0400-000035000000}">
      <text>
        <r>
          <rPr>
            <sz val="11"/>
            <color theme="1"/>
            <rFont val="Calibri"/>
            <family val="2"/>
            <scheme val="minor"/>
          </rPr>
          <t>Modeled from current lease-era surcharge structure discussed in public reporting; pre-lease years not confirmed.</t>
        </r>
      </text>
    </comment>
    <comment ref="A55" authorId="0" shapeId="0" xr:uid="{00000000-0006-0000-0400-000036000000}">
      <text>
        <r>
          <rPr>
            <sz val="11"/>
            <color theme="1"/>
            <rFont val="Calibri"/>
            <family val="2"/>
            <scheme val="minor"/>
          </rPr>
          <t>Public arena-level lease floor for operator; team sublease economics are not public. 2026-27 assumes ~2% step-up.</t>
        </r>
      </text>
    </comment>
    <comment ref="A56" authorId="0" shapeId="0" xr:uid="{00000000-0006-0000-0400-000037000000}">
      <text>
        <r>
          <rPr>
            <sz val="11"/>
            <color theme="1"/>
            <rFont val="Calibri"/>
            <family val="2"/>
            <scheme val="minor"/>
          </rPr>
          <t>Derived from annualized minimum rent floor progression.</t>
        </r>
      </text>
    </comment>
    <comment ref="A57" authorId="0" shapeId="0" xr:uid="{00000000-0006-0000-0400-000038000000}">
      <text>
        <r>
          <rPr>
            <sz val="11"/>
            <color theme="1"/>
            <rFont val="Calibri"/>
            <family val="2"/>
            <scheme val="minor"/>
          </rPr>
          <t>Modeled event security cost using city event-policing framework and arena setting.</t>
        </r>
      </text>
    </comment>
    <comment ref="A58" authorId="0" shapeId="0" xr:uid="{00000000-0006-0000-0400-000039000000}">
      <text>
        <r>
          <rPr>
            <sz val="11"/>
            <color theme="1"/>
            <rFont val="Calibri"/>
            <family val="2"/>
            <scheme val="minor"/>
          </rPr>
          <t>Modeled annual utilities / ice / cooling cost allocation for hockey dates.</t>
        </r>
      </text>
    </comment>
    <comment ref="A59" authorId="0" shapeId="0" xr:uid="{00000000-0006-0000-0400-00003A000000}">
      <text>
        <r>
          <rPr>
            <sz val="11"/>
            <color theme="1"/>
            <rFont val="Calibri"/>
            <family val="2"/>
            <scheme val="minor"/>
          </rPr>
          <t>Modeled annual conversion cost allocation for a mixed-use arena.</t>
        </r>
      </text>
    </comment>
    <comment ref="A60" authorId="0" shapeId="0" xr:uid="{00000000-0006-0000-0400-00003B000000}">
      <text>
        <r>
          <rPr>
            <sz val="11"/>
            <color theme="1"/>
            <rFont val="Calibri"/>
            <family val="2"/>
            <scheme val="minor"/>
          </rPr>
          <t>No public team-side assessment identified in reviewed materials.</t>
        </r>
      </text>
    </comment>
    <comment ref="A61" authorId="0" shapeId="0" xr:uid="{00000000-0006-0000-0400-00003C000000}">
      <text>
        <r>
          <rPr>
            <sz val="11"/>
            <color theme="1"/>
            <rFont val="Calibri"/>
            <family val="2"/>
            <scheme val="minor"/>
          </rPr>
          <t>Directional planning metric keyed to interim lease / redevelopment timeline, not a legal opinion.</t>
        </r>
      </text>
    </comment>
    <comment ref="A62" authorId="0" shapeId="0" xr:uid="{00000000-0006-0000-0400-00003D000000}">
      <text>
        <r>
          <rPr>
            <sz val="11"/>
            <color theme="1"/>
            <rFont val="Calibri"/>
            <family val="2"/>
            <scheme val="minor"/>
          </rPr>
          <t>Logical annual value attributed to team operations from arena-level naming-rights ecosystem; not publicly disclosed by team.</t>
        </r>
      </text>
    </comment>
    <comment ref="A63" authorId="0" shapeId="0" xr:uid="{00000000-0006-0000-0400-00003E000000}">
      <text>
        <r>
          <rPr>
            <sz val="11"/>
            <color theme="1"/>
            <rFont val="Calibri"/>
            <family val="2"/>
            <scheme val="minor"/>
          </rPr>
          <t>Logical placeholder for local tax / business filing burden; not publicly disclosed.</t>
        </r>
      </text>
    </comment>
    <comment ref="A64" authorId="0" shapeId="0" xr:uid="{00000000-0006-0000-0400-00003F000000}">
      <text>
        <r>
          <rPr>
            <sz val="11"/>
            <color theme="1"/>
            <rFont val="Calibri"/>
            <family val="2"/>
            <scheme val="minor"/>
          </rPr>
          <t>No public debt structure found; nominal placeholder only.</t>
        </r>
      </text>
    </comment>
    <comment ref="A65" authorId="0" shapeId="0" xr:uid="{00000000-0006-0000-0400-000040000000}">
      <text>
        <r>
          <rPr>
            <sz val="11"/>
            <color rgb="FF000000"/>
            <rFont val="Calibri"/>
            <family val="2"/>
          </rPr>
          <t>Opening night / current roster anchors from official materials and current roster page.</t>
        </r>
      </text>
    </comment>
    <comment ref="A66" authorId="0" shapeId="0" xr:uid="{00000000-0006-0000-0400-000041000000}">
      <text>
        <r>
          <rPr>
            <sz val="11"/>
            <color theme="1"/>
            <rFont val="Calibri"/>
            <family val="2"/>
            <scheme val="minor"/>
          </rPr>
          <t>Modeled head coach + assistants + video support payroll for NHL-owned AHL team.</t>
        </r>
      </text>
    </comment>
    <comment ref="A67" authorId="0" shapeId="0" xr:uid="{00000000-0006-0000-0400-000042000000}">
      <text>
        <r>
          <rPr>
            <sz val="11"/>
            <color theme="1"/>
            <rFont val="Calibri"/>
            <family val="2"/>
            <scheme val="minor"/>
          </rPr>
          <t>Estimated from official front-office listings and LinkedIn company-size context.</t>
        </r>
      </text>
    </comment>
    <comment ref="A68" authorId="0" shapeId="0" xr:uid="{00000000-0006-0000-0400-000043000000}">
      <text>
        <r>
          <rPr>
            <sz val="11"/>
            <color theme="1"/>
            <rFont val="Calibri"/>
            <family val="2"/>
            <scheme val="minor"/>
          </rPr>
          <t>Modeled training / recovery / sports science spend allocation.</t>
        </r>
      </text>
    </comment>
    <comment ref="A69" authorId="0" shapeId="0" xr:uid="{00000000-0006-0000-0400-000044000000}">
      <text>
        <r>
          <rPr>
            <sz val="11"/>
            <color theme="1"/>
            <rFont val="Calibri"/>
            <family val="2"/>
            <scheme val="minor"/>
          </rPr>
          <t>Share of road schedule requiring flights or long-haul travel rather than short bus trips.</t>
        </r>
      </text>
    </comment>
    <comment ref="A70" authorId="0" shapeId="0" xr:uid="{00000000-0006-0000-0400-000045000000}">
      <text>
        <r>
          <rPr>
            <sz val="11"/>
            <color theme="1"/>
            <rFont val="Calibri"/>
            <family val="2"/>
            <scheme val="minor"/>
          </rPr>
          <t>Modeled housing stipend / support budget for San Diego market.</t>
        </r>
      </text>
    </comment>
    <comment ref="A71" authorId="0" shapeId="0" xr:uid="{00000000-0006-0000-0400-000046000000}">
      <text>
        <r>
          <rPr>
            <sz val="11"/>
            <color theme="1"/>
            <rFont val="Calibri"/>
            <family val="2"/>
            <scheme val="minor"/>
          </rPr>
          <t>Public PHPA minimum visible for 2024-25; other years benchmarked / stepped.</t>
        </r>
      </text>
    </comment>
    <comment ref="A72" authorId="0" shapeId="0" xr:uid="{00000000-0006-0000-0400-000047000000}">
      <text>
        <r>
          <rPr>
            <sz val="11"/>
            <color theme="1"/>
            <rFont val="Calibri"/>
            <family val="2"/>
            <scheme val="minor"/>
          </rPr>
          <t>Modeled non-NHL-contracted average salary.</t>
        </r>
      </text>
    </comment>
    <comment ref="A73" authorId="0" shapeId="0" xr:uid="{00000000-0006-0000-0400-000048000000}">
      <text>
        <r>
          <rPr>
            <sz val="11"/>
            <color theme="1"/>
            <rFont val="Calibri"/>
            <family val="2"/>
            <scheme val="minor"/>
          </rPr>
          <t>Modeled workers' comp / liability / sports risk coverage allocation.</t>
        </r>
      </text>
    </comment>
    <comment ref="A74" authorId="0" shapeId="0" xr:uid="{00000000-0006-0000-0400-000049000000}">
      <text>
        <r>
          <rPr>
            <sz val="11"/>
            <color theme="1"/>
            <rFont val="Calibri"/>
            <family val="2"/>
            <scheme val="minor"/>
          </rPr>
          <t>Modeled annual equipment budget.</t>
        </r>
      </text>
    </comment>
    <comment ref="A75" authorId="0" shapeId="0" xr:uid="{00000000-0006-0000-0400-00004A000000}">
      <text>
        <r>
          <rPr>
            <sz val="11"/>
            <color theme="1"/>
            <rFont val="Calibri"/>
            <family val="2"/>
            <scheme val="minor"/>
          </rPr>
          <t>Approximate Ducks-controlled development pipeline count; 2024 opening-night game notes cited nine drafted players.</t>
        </r>
      </text>
    </comment>
    <comment ref="A76" authorId="0" shapeId="0" xr:uid="{00000000-0006-0000-0400-00004B000000}">
      <text>
        <r>
          <rPr>
            <sz val="11"/>
            <color theme="1"/>
            <rFont val="Calibri"/>
            <family val="2"/>
            <scheme val="minor"/>
          </rPr>
          <t>Modeled payroll / hockey ops support absorbed by Anaheim Ducks in NHL-owned affiliate structure.</t>
        </r>
      </text>
    </comment>
    <comment ref="A77" authorId="0" shapeId="0" xr:uid="{00000000-0006-0000-0400-00004C000000}">
      <text>
        <r>
          <rPr>
            <sz val="11"/>
            <color theme="1"/>
            <rFont val="Calibri"/>
            <family val="2"/>
            <scheme val="minor"/>
          </rPr>
          <t>Logical direct youth / grassroots revenue estimate attributable to club ecosystem.</t>
        </r>
      </text>
    </comment>
    <comment ref="A78" authorId="0" shapeId="0" xr:uid="{00000000-0006-0000-0400-00004D000000}">
      <text>
        <r>
          <rPr>
            <sz val="11"/>
            <color theme="1"/>
            <rFont val="Calibri"/>
            <family val="2"/>
            <scheme val="minor"/>
          </rPr>
          <t>Logical asset placeholder; foundation has publicly contributed over $1 million cumulatively but does not disclose current balance here.</t>
        </r>
      </text>
    </comment>
    <comment ref="A79" authorId="0" shapeId="0" xr:uid="{00000000-0006-0000-0400-00004E000000}">
      <text>
        <r>
          <rPr>
            <sz val="11"/>
            <color theme="1"/>
            <rFont val="Calibri"/>
            <family val="2"/>
            <scheme val="minor"/>
          </rPr>
          <t>Modeled cross-promotional / Ducks ecosystem value.</t>
        </r>
      </text>
    </comment>
    <comment ref="A80" authorId="0" shapeId="0" xr:uid="{00000000-0006-0000-0400-00004F000000}">
      <text>
        <r>
          <rPr>
            <sz val="11"/>
            <color theme="1"/>
            <rFont val="Calibri"/>
            <family val="2"/>
            <scheme val="minor"/>
          </rPr>
          <t>Logical brand-asset valuation placeholder.</t>
        </r>
      </text>
    </comment>
    <comment ref="A81" authorId="0" shapeId="0" xr:uid="{00000000-0006-0000-0400-000050000000}">
      <text>
        <r>
          <rPr>
            <sz val="11"/>
            <color theme="1"/>
            <rFont val="Calibri"/>
            <family val="2"/>
            <scheme val="minor"/>
          </rPr>
          <t>User-directed valuation multiple.</t>
        </r>
      </text>
    </comment>
    <comment ref="A82" authorId="0" shapeId="0" xr:uid="{00000000-0006-0000-0400-000051000000}">
      <text>
        <r>
          <rPr>
            <sz val="11"/>
            <color theme="1"/>
            <rFont val="Calibri"/>
            <family val="2"/>
            <scheme val="minor"/>
          </rPr>
          <t>User-directed valuation heuristic.</t>
        </r>
      </text>
    </comment>
  </commentList>
</comments>
</file>

<file path=xl/sharedStrings.xml><?xml version="1.0" encoding="utf-8"?>
<sst xmlns="http://schemas.openxmlformats.org/spreadsheetml/2006/main" count="1559" uniqueCount="402">
  <si>
    <t>San Diego Gulls — Forensic Model Workbook</t>
  </si>
  <si>
    <t>Historical base: FY2021-22 to FY2025-26 public anchors + modeled estimates | Baseline projection: FY2026-27</t>
  </si>
  <si>
    <t>2025-26 Avg Attendance</t>
  </si>
  <si>
    <t>2025-26 Gross Revenue</t>
  </si>
  <si>
    <t>2026-27 Gross Revenue</t>
  </si>
  <si>
    <t>2026-27 EBITDA</t>
  </si>
  <si>
    <t>2026-27 Valuation</t>
  </si>
  <si>
    <t>What this workbook does
• Converts publicly available Gulls data into a clean operating model.
• Separates public facts from logical estimates and projections.
• Gives an upside framework for attendance, ticket yield, ancillary spend and sponsorship.
Modeling discipline
• Public items are linked to the Assumptions and Source_Log tabs.
• Private economics (EBITDA, parking share, sponsorship mix, parent subsidy) are clearly labeled as modeled estimates.</t>
  </si>
  <si>
    <t>High-level readout
• Attendance recovered from 6,992 in 2021-22 to 7,403 in 2025-26.
• STM entry price rose from $476 to $614 over the same span.
• Promotional intensity expanded from 13 theme nights to 28 announced nights.
• The 2026-27 upside cases show how operational discipline can push revenue, EBITDA and implied franchise value higher.</t>
  </si>
  <si>
    <t>San Diego Gulls — Assumptions &amp; Public Inputs</t>
  </si>
  <si>
    <t>Blue-font cells are hardcoded historical inputs / modeled estimates. Black-font cells in 2026-27 are formula-driven projections where applicable.</t>
  </si>
  <si>
    <t>Category</t>
  </si>
  <si>
    <t>Driver</t>
  </si>
  <si>
    <t>2021-22</t>
  </si>
  <si>
    <t>2022-23</t>
  </si>
  <si>
    <t>2023-24</t>
  </si>
  <si>
    <t>2024-25</t>
  </si>
  <si>
    <t>2025-26</t>
  </si>
  <si>
    <t>2026-27</t>
  </si>
  <si>
    <t>Unit</t>
  </si>
  <si>
    <t>Source / Method</t>
  </si>
  <si>
    <t>Status</t>
  </si>
  <si>
    <t>CONTROL</t>
  </si>
  <si>
    <t>2026-27 attendance growth assumption</t>
  </si>
  <si>
    <t>pct</t>
  </si>
  <si>
    <t>Model control</t>
  </si>
  <si>
    <t>Control</t>
  </si>
  <si>
    <t>2026-27 WATP growth assumption</t>
  </si>
  <si>
    <t>2026-27 sponsorship growth assumption</t>
  </si>
  <si>
    <t>2026-27 per-cap F&amp;B growth assumption</t>
  </si>
  <si>
    <t>2026-27 merch per-cap growth assumption</t>
  </si>
  <si>
    <t>2026-27 STM price growth assumption</t>
  </si>
  <si>
    <t>2026-27 single-game price growth assumption</t>
  </si>
  <si>
    <t>2026-27 website traffic growth assumption</t>
  </si>
  <si>
    <t>ATTENDANCE</t>
  </si>
  <si>
    <t>Average attendance</t>
  </si>
  <si>
    <t>fans/game</t>
  </si>
  <si>
    <t>https://www.hockeydb.com/stte/san-diego-gulls-11619.html</t>
  </si>
  <si>
    <t>Public/Projection</t>
  </si>
  <si>
    <t>Home games</t>
  </si>
  <si>
    <t>games</t>
  </si>
  <si>
    <t>https://www.sandiegogulls.com/news/detail/san-diego-gulls-2021-22-schedule-announced</t>
  </si>
  <si>
    <t>Public</t>
  </si>
  <si>
    <t>VENUE</t>
  </si>
  <si>
    <t>Hockey seating capacity</t>
  </si>
  <si>
    <t>seats</t>
  </si>
  <si>
    <t>https://www.sandiegogulls.com/assets/doc/2021-22-San-Diego-Gulls-Media-Guide-compressed-92470e4558.pdf</t>
  </si>
  <si>
    <t>Context</t>
  </si>
  <si>
    <t>General venue capacity</t>
  </si>
  <si>
    <t>https://pechangaarenasd.com/about/</t>
  </si>
  <si>
    <t>SCHEDULE</t>
  </si>
  <si>
    <t>Home weekend dates</t>
  </si>
  <si>
    <t>dates</t>
  </si>
  <si>
    <t>Multiple official schedule releases on sandiegogulls.com</t>
  </si>
  <si>
    <t>Friday home games</t>
  </si>
  <si>
    <t>Saturday home games</t>
  </si>
  <si>
    <t>Sunday home games</t>
  </si>
  <si>
    <t>Back-to-back sets</t>
  </si>
  <si>
    <t>sets</t>
  </si>
  <si>
    <t>MARKETING</t>
  </si>
  <si>
    <t>Promotional/theme nights announced</t>
  </si>
  <si>
    <t>nights</t>
  </si>
  <si>
    <t>Multiple official promo releases on sandiegogulls.com</t>
  </si>
  <si>
    <t>Giveaway items announced</t>
  </si>
  <si>
    <t>items</t>
  </si>
  <si>
    <t>Pregame tailgates</t>
  </si>
  <si>
    <t>events</t>
  </si>
  <si>
    <t>TICKETING</t>
  </si>
  <si>
    <t>STM entry price</t>
  </si>
  <si>
    <t>$/seat</t>
  </si>
  <si>
    <t>Multiple official ticketing releases on sandiegogulls.com</t>
  </si>
  <si>
    <t>Single-game floor (box office / public)</t>
  </si>
  <si>
    <t>$/ticket</t>
  </si>
  <si>
    <t>Public/Estimate/Projection</t>
  </si>
  <si>
    <t>Single-game floor (online incl. fees)</t>
  </si>
  <si>
    <t>https://www.sandiegogulls.com/news/detail/single-game-tickets-available-now</t>
  </si>
  <si>
    <t>Estimate/Projection</t>
  </si>
  <si>
    <t>College ticket price</t>
  </si>
  <si>
    <t>https://www.sandiegogulls.com/tickets/college</t>
  </si>
  <si>
    <t>Family pack price floor</t>
  </si>
  <si>
    <t>$/pack</t>
  </si>
  <si>
    <t>https://www.sandiegogulls.com/tickets/4-packs</t>
  </si>
  <si>
    <t>Group minimum size</t>
  </si>
  <si>
    <t>tickets</t>
  </si>
  <si>
    <t>https://www.sandiegogulls.com/tickets/group-tickets</t>
  </si>
  <si>
    <t>Public/Context</t>
  </si>
  <si>
    <t>Max mini-plan discount</t>
  </si>
  <si>
    <t>https://www.sandiegogulls.com/tickets/gulls-mini-plans</t>
  </si>
  <si>
    <t>Weighted average ticket price (modeled)</t>
  </si>
  <si>
    <t>Model methodology</t>
  </si>
  <si>
    <t>Group sales share of gate</t>
  </si>
  <si>
    <t>Premium seating yield (included in gate)</t>
  </si>
  <si>
    <t>$</t>
  </si>
  <si>
    <t>STM base (full-season equivalents)</t>
  </si>
  <si>
    <t>FSE</t>
  </si>
  <si>
    <t>STM retention rate</t>
  </si>
  <si>
    <t>ANCILLARY</t>
  </si>
  <si>
    <t>F&amp;B per-cap gross</t>
  </si>
  <si>
    <t>$/attendee</t>
  </si>
  <si>
    <t>Team concession commission rate</t>
  </si>
  <si>
    <t>Estimate</t>
  </si>
  <si>
    <t>Merchandise per-cap</t>
  </si>
  <si>
    <t>Parking fee assumption</t>
  </si>
  <si>
    <t>$/vehicle</t>
  </si>
  <si>
    <t>https://pechangaarenasd.com/plan-your-visit/directions-parking/</t>
  </si>
  <si>
    <t>Average auto occupancy</t>
  </si>
  <si>
    <t>persons/vehicle</t>
  </si>
  <si>
    <t>Team share of parking</t>
  </si>
  <si>
    <t>SPONSORSHIP</t>
  </si>
  <si>
    <t>Total sponsorship revenue</t>
  </si>
  <si>
    <t>Title partner value</t>
  </si>
  <si>
    <t>Jersey / patch revenue</t>
  </si>
  <si>
    <t>Digital inventory yield</t>
  </si>
  <si>
    <t>MEDIA</t>
  </si>
  <si>
    <t>Broadcast / streaming value</t>
  </si>
  <si>
    <t>https://theahl.com/news/ahl-flosports-partnership-extension</t>
  </si>
  <si>
    <t>DIGITAL</t>
  </si>
  <si>
    <t>Email subscribers (estimated active)</t>
  </si>
  <si>
    <t>subs</t>
  </si>
  <si>
    <t>Social audience (aggregate est.)</t>
  </si>
  <si>
    <t>followers</t>
  </si>
  <si>
    <t>Multiple public social snippets</t>
  </si>
  <si>
    <t>Website monthly visits</t>
  </si>
  <si>
    <t>visits</t>
  </si>
  <si>
    <t>https://www.similarweb.com/website/sandiegogulls.com/</t>
  </si>
  <si>
    <t>Bounce rate</t>
  </si>
  <si>
    <t>Pages per visit</t>
  </si>
  <si>
    <t>pages</t>
  </si>
  <si>
    <t>Average visit duration (sec)</t>
  </si>
  <si>
    <t>sec</t>
  </si>
  <si>
    <t>Organic search share</t>
  </si>
  <si>
    <t>Customer acquisition cost</t>
  </si>
  <si>
    <t>$/new buyer</t>
  </si>
  <si>
    <t>Net promoter score</t>
  </si>
  <si>
    <t>pts</t>
  </si>
  <si>
    <t>ARENA</t>
  </si>
  <si>
    <t>Facility fee per paid ticket</t>
  </si>
  <si>
    <t>Lease-era reporting / model assumption</t>
  </si>
  <si>
    <t>Base rent floor (annualized)</t>
  </si>
  <si>
    <t>https://www.lee-associates.com/elee/utc/newsletter/091224/article3.pdf</t>
  </si>
  <si>
    <t>Rent escalator</t>
  </si>
  <si>
    <t>Derived/Projection</t>
  </si>
  <si>
    <t>Security / police overhead per event</t>
  </si>
  <si>
    <t>https://www.sandiego.gov/sites/default/files/specialeventsopsmanual2020.pdf</t>
  </si>
  <si>
    <t>Utilities &amp; HVAC load</t>
  </si>
  <si>
    <t>Load-in / load-out allocation</t>
  </si>
  <si>
    <t>Midway district assessment / CFD</t>
  </si>
  <si>
    <t>Public review</t>
  </si>
  <si>
    <t>Lease horizon (months remaining)</t>
  </si>
  <si>
    <t>months</t>
  </si>
  <si>
    <t>https://www.sandiego.gov/economic-development/real-estate/midway-rising</t>
  </si>
  <si>
    <t>Naming-rights tranche allocable to team ops</t>
  </si>
  <si>
    <t>Tax liability</t>
  </si>
  <si>
    <t>Debt-to-value ratio</t>
  </si>
  <si>
    <t>HUMAN CAPITAL</t>
  </si>
  <si>
    <t>Roster headcount</t>
  </si>
  <si>
    <t>players</t>
  </si>
  <si>
    <t>Multiple official roster/game notes sources</t>
  </si>
  <si>
    <t>Coaching staff payroll</t>
  </si>
  <si>
    <t>Front office FTE</t>
  </si>
  <si>
    <t>FTE</t>
  </si>
  <si>
    <t>https://www.linkedin.com/company/san-diego-gulls</t>
  </si>
  <si>
    <t>Medical / training tech spend</t>
  </si>
  <si>
    <t>Travel logistics ratio (air-heavy)</t>
  </si>
  <si>
    <t>Player housing spend</t>
  </si>
  <si>
    <t>AHL-only salary floor</t>
  </si>
  <si>
    <t>https://phpa.com/site/agreements</t>
  </si>
  <si>
    <t>AHL-only average salary</t>
  </si>
  <si>
    <t>Insurance premiums</t>
  </si>
  <si>
    <t>Equipment lifecycle cost</t>
  </si>
  <si>
    <t>Ducks prospects in San Diego</t>
  </si>
  <si>
    <t>OTHER</t>
  </si>
  <si>
    <t>NHL parent subsidy</t>
  </si>
  <si>
    <t>Youth hockey / camp revenue</t>
  </si>
  <si>
    <t>Foundation asset base</t>
  </si>
  <si>
    <t>https://www.sandiegogulls.com/community/foundation</t>
  </si>
  <si>
    <t>Affiliate synergy value</t>
  </si>
  <si>
    <t>Trademark / brand asset value</t>
  </si>
  <si>
    <t>VALUATION</t>
  </si>
  <si>
    <t>Revenue multiple</t>
  </si>
  <si>
    <t>x</t>
  </si>
  <si>
    <t>Email database value per active subscriber</t>
  </si>
  <si>
    <t>$/active sub</t>
  </si>
  <si>
    <t>ID</t>
  </si>
  <si>
    <t>Group</t>
  </si>
  <si>
    <t>Field</t>
  </si>
  <si>
    <t>Confidence</t>
  </si>
  <si>
    <t>Primary Source / Method</t>
  </si>
  <si>
    <t>Notes</t>
  </si>
  <si>
    <t>1. Fan Demand, Schedule &amp; Ticketing</t>
  </si>
  <si>
    <t>Fan Demand / Ticketing</t>
  </si>
  <si>
    <t>Public input / projection</t>
  </si>
  <si>
    <t>High</t>
  </si>
  <si>
    <t>HockeyDB / official schedule</t>
  </si>
  <si>
    <t>2026-27 baseline projected from 2025-26 using control.</t>
  </si>
  <si>
    <t>Public input</t>
  </si>
  <si>
    <t>Official schedules</t>
  </si>
  <si>
    <t>2021-22 was 34 home games; subsequent seasons 36.</t>
  </si>
  <si>
    <t>Total home attendance</t>
  </si>
  <si>
    <t>fans</t>
  </si>
  <si>
    <t>Derived</t>
  </si>
  <si>
    <t>Attendance × home games</t>
  </si>
  <si>
    <t>Average attendance multiplied by home games.</t>
  </si>
  <si>
    <t>Official yearly schedule releases.</t>
  </si>
  <si>
    <t>2026-27 baseline projected mix.</t>
  </si>
  <si>
    <t>Promotional / theme nights</t>
  </si>
  <si>
    <t>Official promo releases</t>
  </si>
  <si>
    <t>2025-26 includes 8 anniversary nights + 20 additional promotional nights.</t>
  </si>
  <si>
    <t>Giveaway items</t>
  </si>
  <si>
    <t>Medium</t>
  </si>
  <si>
    <t>2025-26 current public list includes five announced giveaways.</t>
  </si>
  <si>
    <t>Counted / projected from public promo schedules.</t>
  </si>
  <si>
    <t>Official ticketing releases</t>
  </si>
  <si>
    <t>Gulls Elite floor price.</t>
  </si>
  <si>
    <t>STM entry price per game</t>
  </si>
  <si>
    <t>STM entry price ÷ home games</t>
  </si>
  <si>
    <t>Season-ticket floor divided by home games.</t>
  </si>
  <si>
    <t>Public input / estimate / projection</t>
  </si>
  <si>
    <t>2024-25 floor is interpolated estimate.</t>
  </si>
  <si>
    <t>Estimate / projection</t>
  </si>
  <si>
    <t>Official 2025-26 ticketing release</t>
  </si>
  <si>
    <t>2025-26 is official; 2024-25 and 2026-27 are modeled estimates.</t>
  </si>
  <si>
    <t>Official college page</t>
  </si>
  <si>
    <t>Current season official price.</t>
  </si>
  <si>
    <t>Official family-pack page</t>
  </si>
  <si>
    <t>Current-season official product.</t>
  </si>
  <si>
    <t>Public / context</t>
  </si>
  <si>
    <t>Official group page</t>
  </si>
  <si>
    <t>Assumed stable historically.</t>
  </si>
  <si>
    <t>Low</t>
  </si>
  <si>
    <t>Public current mini-plan page</t>
  </si>
  <si>
    <t>Historical values are conservative placeholders.</t>
  </si>
  <si>
    <t>Modeled from ticket product mix and public price anchors.</t>
  </si>
  <si>
    <t>Logical range based on minor-league group channel importance.</t>
  </si>
  <si>
    <t>Premium seating yield</t>
  </si>
  <si>
    <t>Embedded within gate yield; not additive in revenue total.</t>
  </si>
  <si>
    <t>STM base (FSE)</t>
  </si>
  <si>
    <t>Modeled from attendance and ticket mix.</t>
  </si>
  <si>
    <t>Modeled range.</t>
  </si>
  <si>
    <t>2. Revenue Engine &amp; Economics</t>
  </si>
  <si>
    <t>Revenue Engine</t>
  </si>
  <si>
    <t>Gate revenue</t>
  </si>
  <si>
    <t>Total attendance × WATP</t>
  </si>
  <si>
    <t>Modeled gate revenue using weighted average ticket price.</t>
  </si>
  <si>
    <t>Publicly discussed current surcharge structure; early years not confirmed.</t>
  </si>
  <si>
    <t>Facility fee liability</t>
  </si>
  <si>
    <t>Total attendance × facility fee</t>
  </si>
  <si>
    <t>Pass-through city/venue fee liability estimate.</t>
  </si>
  <si>
    <t>Revenue per available seat (RevPAS)</t>
  </si>
  <si>
    <t>Gate ÷ (capacity × home games)</t>
  </si>
  <si>
    <t>Uses 12,920 hockey capacity.</t>
  </si>
  <si>
    <t>Gross in-building spend, not team net.</t>
  </si>
  <si>
    <t>Private split; modeled nominal rate.</t>
  </si>
  <si>
    <t>Concession commission revenue</t>
  </si>
  <si>
    <t>Attendance × F&amp;B per-cap × commission rate</t>
  </si>
  <si>
    <t>Team-side concession revenue estimate.</t>
  </si>
  <si>
    <t>Modeled team-store spend per attendee.</t>
  </si>
  <si>
    <t>Merchandise revenue</t>
  </si>
  <si>
    <t>Attendance × merch per-cap</t>
  </si>
  <si>
    <t>Modeled gross merchandise revenue.</t>
  </si>
  <si>
    <t>Public parking page + model</t>
  </si>
  <si>
    <t>Event-specific public fee structure; year values are model anchors.</t>
  </si>
  <si>
    <t>persons</t>
  </si>
  <si>
    <t>Transport assumption for parking yield.</t>
  </si>
  <si>
    <t>No public split located; nominal placeholder only.</t>
  </si>
  <si>
    <t>Parking revenue yield</t>
  </si>
  <si>
    <t>Attendance ÷ occupancy × fee × share</t>
  </si>
  <si>
    <t>Team-side parking estimate.</t>
  </si>
  <si>
    <t>Total per-cap spend (F&amp;B + merch)</t>
  </si>
  <si>
    <t>F&amp;B per-cap + merch per-cap</t>
  </si>
  <si>
    <t>Gross fan spend indicator.</t>
  </si>
  <si>
    <t>Total sponsorship / partner inventory revenue.</t>
  </si>
  <si>
    <t>Subcomponent of sponsorship total.</t>
  </si>
  <si>
    <t>Other sponsorship revenue</t>
  </si>
  <si>
    <t>Residual sponsorship value</t>
  </si>
  <si>
    <t>Total sponsorship less title, patch, and digital subcomponents.</t>
  </si>
  <si>
    <t>AHL/FloHockey + local TV context</t>
  </si>
  <si>
    <t>Modeled media value.</t>
  </si>
  <si>
    <t>Direct ecosystem youth / camp estimate.</t>
  </si>
  <si>
    <t>Gross annual revenue</t>
  </si>
  <si>
    <t>Gate + commission + merch + parking + sponsorship + media + youth</t>
  </si>
  <si>
    <t>Excludes NHL parent subsidy to preserve stand-alone club revenue view.</t>
  </si>
  <si>
    <t>Anaheim Ducks affiliate support estimate.</t>
  </si>
  <si>
    <t>Operating resources incl. parent support</t>
  </si>
  <si>
    <t>Gross revenue + parent subsidy</t>
  </si>
  <si>
    <t>Useful for full operating-scale context.</t>
  </si>
  <si>
    <t>3. Arena, Municipal &amp; Venue Footprint</t>
  </si>
  <si>
    <t>Arena / Municipal</t>
  </si>
  <si>
    <t>Official media guide</t>
  </si>
  <si>
    <t>Capacity used in RevPAS.</t>
  </si>
  <si>
    <t>Official venue page</t>
  </si>
  <si>
    <t>Current listed arena capacity.</t>
  </si>
  <si>
    <t>Public / projection</t>
  </si>
  <si>
    <t>Arena lease reporting</t>
  </si>
  <si>
    <t>Arena-operator level, not disclosed team sublease.</t>
  </si>
  <si>
    <t>Derived / projection</t>
  </si>
  <si>
    <t>Lease floor progression</t>
  </si>
  <si>
    <t>Derived from public operator-level rent floor.</t>
  </si>
  <si>
    <t>City event policing framework</t>
  </si>
  <si>
    <t>Event cost estimate.</t>
  </si>
  <si>
    <t>Security / police overhead (annual)</t>
  </si>
  <si>
    <t>Per-event security × home games</t>
  </si>
  <si>
    <t>Annualized event security cost.</t>
  </si>
  <si>
    <t>Annualized utilities / ice / cooling.</t>
  </si>
  <si>
    <t>Annualized mixed-use arena conversion allocation.</t>
  </si>
  <si>
    <t>No public team-side assessment identified.</t>
  </si>
  <si>
    <t>Midway Rising timeline</t>
  </si>
  <si>
    <t>Directional planning metric only.</t>
  </si>
  <si>
    <t>Logical annual value attributed to team ops.</t>
  </si>
  <si>
    <t>Nominal local tax placeholder.</t>
  </si>
  <si>
    <t>Nominal placeholder only.</t>
  </si>
  <si>
    <t>4. Hockey Ops, Organization &amp; Human Capital</t>
  </si>
  <si>
    <t>Human Capital</t>
  </si>
  <si>
    <t>Official roster / game notes</t>
  </si>
  <si>
    <t>Opening-night/current roster anchor.</t>
  </si>
  <si>
    <t>Head coach + assistants + video support.</t>
  </si>
  <si>
    <t>Official front office + LinkedIn</t>
  </si>
  <si>
    <t>Business / marketing / partnership staff estimate.</t>
  </si>
  <si>
    <t>Sports science / recovery allocation.</t>
  </si>
  <si>
    <t>Travel intensity ratio.</t>
  </si>
  <si>
    <t>Local market housing support estimate.</t>
  </si>
  <si>
    <t>PHPA / benchmark</t>
  </si>
  <si>
    <t>2024-25 visible minimum, other years stepped.</t>
  </si>
  <si>
    <t>Modeled non-NHL salary average.</t>
  </si>
  <si>
    <t>Workers' comp / liability allocation.</t>
  </si>
  <si>
    <t>Annual equipment budget estimate.</t>
  </si>
  <si>
    <t>Official roster/game notes</t>
  </si>
  <si>
    <t>Approximate Ducks-controlled development pipeline.</t>
  </si>
  <si>
    <t>5. Digital, Marketing &amp; Brand Equity</t>
  </si>
  <si>
    <t>Digital / Brand</t>
  </si>
  <si>
    <t>Owned-contact base estimate.</t>
  </si>
  <si>
    <t>User assumption</t>
  </si>
  <si>
    <t>User-directed valuation heuristic.</t>
  </si>
  <si>
    <t>Email database value</t>
  </si>
  <si>
    <t>Email subs × $5 heuristic</t>
  </si>
  <si>
    <t>Simple database value proxy.</t>
  </si>
  <si>
    <t>Public social snippets</t>
  </si>
  <si>
    <t>Approximate total audience across major platforms.</t>
  </si>
  <si>
    <t>Similarweb</t>
  </si>
  <si>
    <t>Current-year anchor plus historical trend/projection.</t>
  </si>
  <si>
    <t>Current-year anchor plus trend.</t>
  </si>
  <si>
    <t>Per-new-buyer marketing cost estimate.</t>
  </si>
  <si>
    <t>Sentiment proxy, not official survey.</t>
  </si>
  <si>
    <t>Official foundation giving + model</t>
  </si>
  <si>
    <t>Logical asset placeholder.</t>
  </si>
  <si>
    <t>Ducks ecosystem cross-promotional value.</t>
  </si>
  <si>
    <t>Logical brand asset placeholder.</t>
  </si>
  <si>
    <t>6. Profitability, Efficiency &amp; Valuation</t>
  </si>
  <si>
    <t>Valuation</t>
  </si>
  <si>
    <t>EBITDA margin</t>
  </si>
  <si>
    <t>Modeled margin from cost stack</t>
  </si>
  <si>
    <t>Calculated from EBITDA ÷ gross revenue.</t>
  </si>
  <si>
    <t>EBITDA</t>
  </si>
  <si>
    <t>Gross revenue less modeled operating cost stack</t>
  </si>
  <si>
    <t>Operating earnings proxy excluding parent subsidy.</t>
  </si>
  <si>
    <t>Operating expenses (modeled)</t>
  </si>
  <si>
    <t>Modeled cost stack</t>
  </si>
  <si>
    <t>Includes base rent, security, utilities, load-in, coaching, FO, medical, travel/housing proxy, insurance, equipment, tax, and other overhead.</t>
  </si>
  <si>
    <t>Operating expense ratio</t>
  </si>
  <si>
    <t>OpEx ÷ gross revenue</t>
  </si>
  <si>
    <t>Team-level modeled expense ratio.</t>
  </si>
  <si>
    <t>Valuation multiple.</t>
  </si>
  <si>
    <t>Implied franchise valuation</t>
  </si>
  <si>
    <t>Gross revenue × 3.2x multiple</t>
  </si>
  <si>
    <t>User-specified multiple applied to gross revenue.</t>
  </si>
  <si>
    <t>2026-27 Projection Upside — Revenue, EBITDA &amp; Value Creation Levers</t>
  </si>
  <si>
    <t>Baseline uses the Master_Model. Scenario columns show how disciplined operations, pricing, sponsorship and digital execution can move the club to a higher operating ceiling.</t>
  </si>
  <si>
    <t>Baseline Revenue</t>
  </si>
  <si>
    <t>Baseline EBITDA</t>
  </si>
  <si>
    <t>Baseline Valuation</t>
  </si>
  <si>
    <t>Baseline Attendance</t>
  </si>
  <si>
    <t>Lever / Output</t>
  </si>
  <si>
    <t>Efficiency / Ops</t>
  </si>
  <si>
    <t>Sales &amp; Retention</t>
  </si>
  <si>
    <t>Premium + Sponsorship</t>
  </si>
  <si>
    <t>Recommended Actions to Push the Curve Higher</t>
  </si>
  <si>
    <t>Attendance uplift</t>
  </si>
  <si>
    <t>1) OPERATIONS / CRM CLEAN-UP
• Remove stale ticket copy and unify current-season pricing across pages.
• Standardize lead-source tagging and post-game follow-up windows.
• Weekly dashboard: STM churn, second-game conversion, group close rate, per-cap spend.</t>
  </si>
  <si>
    <t>WATP uplift</t>
  </si>
  <si>
    <t>Per-cap uplift</t>
  </si>
  <si>
    <t>Sponsorship uplift</t>
  </si>
  <si>
    <t>EBITDA margin uplift</t>
  </si>
  <si>
    <t>2) SALES &amp; RETENTION ENGINE
• Build first-game-to-second-game journeys for single-game, student and family-pack buyers.
• Expand military, youth sports and corporate group calendars around promo nights.
• Tighten STM save offers 60–90 days before renewal deadlines.</t>
  </si>
  <si>
    <t>Projected attendance</t>
  </si>
  <si>
    <t>3) PREMIUM / SPONSORSHIP / DIGITAL
• Package Stella Lounge, suites and premium parking into higher-yield bundles.
• Sell more digital presented-by inventory across app, email and social.
• Expand bar-network and watch-party capture into lead generation, not just branding.</t>
  </si>
  <si>
    <t>Projected WATP</t>
  </si>
  <si>
    <t>Projected per-cap</t>
  </si>
  <si>
    <t>Projected sponsorship</t>
  </si>
  <si>
    <t>Incremental gate revenue</t>
  </si>
  <si>
    <t>Incremental ancillary revenue</t>
  </si>
  <si>
    <t>Incremental sponsorship</t>
  </si>
  <si>
    <t>Total incremental revenue</t>
  </si>
  <si>
    <t>Projected total revenue</t>
  </si>
  <si>
    <t>Projected EBITDA</t>
  </si>
  <si>
    <t>Projected valuation</t>
  </si>
  <si>
    <t>Average Attendance</t>
  </si>
  <si>
    <t>Gross Revenue</t>
  </si>
  <si>
    <t>Implied Valuation</t>
  </si>
  <si>
    <t>Scenario</t>
  </si>
  <si>
    <t>Baseline</t>
  </si>
  <si>
    <t>Revenue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</si>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</sst>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#,##0;[Red]\(#,##0\);\-"/>
    <numFmt numFmtId="165" formatCode="\$#,##0;[Red]\(\$#,##0\);\-"/>
    <numFmt numFmtId="166" formatCode="0.0%"/>
    <numFmt numFmtId="167" formatCode="\$#,##0.00;[Red]\(\$#,##0.00\);\-"/>
    <numFmt numFmtId="168" formatCode="0.0\x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rgb="FF008000"/>
      <name val="Calibri"/>
      <family val="2"/>
    </font>
    <font>
      <b/>
      <sz val="9"/>
      <color rgb="FF666666"/>
      <name val="Calibri"/>
      <family val="2"/>
    </font>
    <font>
      <b/>
      <sz val="16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/>
      <right/>
      <top style="medium">
        <color rgb="FF1F4E78"/>
      </top>
      <bottom style="thin">
        <color rgb="FFD9D9D9"/>
      </bottom>
      <diagonal/>
    </border>
    <border>
      <left/>
      <right/>
      <top style="medium">
        <color rgb="FF1F4E78"/>
      </top>
      <bottom/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66" fontId="0" fillId="0" borderId="1" xfId="0" applyNumberFormat="1" applyBorder="1"/>
    <xf numFmtId="166" fontId="6" fillId="4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6" fontId="0" fillId="0" borderId="0" xfId="0" applyNumberFormat="1"/>
    <xf numFmtId="166" fontId="6" fillId="4" borderId="0" xfId="0" applyNumberFormat="1" applyFont="1" applyFill="1" applyAlignment="1">
      <alignment vertical="center"/>
    </xf>
    <xf numFmtId="164" fontId="6" fillId="4" borderId="1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4" fontId="6" fillId="4" borderId="0" xfId="0" applyNumberFormat="1" applyFont="1" applyFill="1" applyAlignment="1">
      <alignment vertical="center"/>
    </xf>
    <xf numFmtId="167" fontId="6" fillId="4" borderId="1" xfId="0" applyNumberFormat="1" applyFont="1" applyFill="1" applyBorder="1" applyAlignment="1">
      <alignment vertical="center"/>
    </xf>
    <xf numFmtId="167" fontId="5" fillId="0" borderId="1" xfId="0" applyNumberFormat="1" applyFont="1" applyBorder="1" applyAlignment="1">
      <alignment vertical="center"/>
    </xf>
    <xf numFmtId="167" fontId="6" fillId="4" borderId="0" xfId="0" applyNumberFormat="1" applyFont="1" applyFill="1" applyAlignment="1">
      <alignment vertical="center"/>
    </xf>
    <xf numFmtId="167" fontId="5" fillId="0" borderId="0" xfId="0" applyNumberFormat="1" applyFont="1" applyAlignment="1">
      <alignment vertical="center"/>
    </xf>
    <xf numFmtId="167" fontId="0" fillId="0" borderId="0" xfId="0" applyNumberFormat="1"/>
    <xf numFmtId="165" fontId="6" fillId="4" borderId="0" xfId="0" applyNumberFormat="1" applyFont="1" applyFill="1" applyAlignment="1">
      <alignment vertical="center"/>
    </xf>
    <xf numFmtId="4" fontId="6" fillId="4" borderId="0" xfId="0" applyNumberFormat="1" applyFont="1" applyFill="1" applyAlignment="1">
      <alignment vertical="center"/>
    </xf>
    <xf numFmtId="165" fontId="6" fillId="4" borderId="1" xfId="0" applyNumberFormat="1" applyFont="1" applyFill="1" applyBorder="1" applyAlignment="1">
      <alignment vertical="center"/>
    </xf>
    <xf numFmtId="164" fontId="5" fillId="0" borderId="0" xfId="0" applyNumberFormat="1" applyFont="1" applyAlignment="1">
      <alignment vertical="center"/>
    </xf>
    <xf numFmtId="167" fontId="0" fillId="0" borderId="1" xfId="0" applyNumberFormat="1" applyBorder="1"/>
    <xf numFmtId="164" fontId="0" fillId="0" borderId="0" xfId="0" applyNumberFormat="1"/>
    <xf numFmtId="168" fontId="6" fillId="4" borderId="1" xfId="0" applyNumberFormat="1" applyFont="1" applyFill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5" fillId="0" borderId="0" xfId="0" applyFont="1" applyAlignment="1">
      <alignment wrapText="1"/>
    </xf>
    <xf numFmtId="165" fontId="7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5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wrapText="1"/>
    </xf>
    <xf numFmtId="4" fontId="7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8" fontId="7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/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0" fontId="8" fillId="5" borderId="0" xfId="0" applyFont="1" applyFill="1" applyAlignment="1">
      <alignment vertical="center"/>
    </xf>
    <xf numFmtId="0" fontId="0" fillId="0" borderId="0" xfId="0"/>
    <xf numFmtId="0" fontId="2" fillId="0" borderId="0" xfId="0" applyFont="1" applyAlignment="1">
      <alignment vertical="center"/>
    </xf>
    <xf numFmtId="0" fontId="5" fillId="7" borderId="0" xfId="0" applyFont="1" applyFill="1" applyAlignment="1">
      <alignment vertical="top" wrapText="1"/>
    </xf>
    <xf numFmtId="0" fontId="1" fillId="2" borderId="0" xfId="0" applyFont="1" applyFill="1" applyAlignment="1">
      <alignment vertical="center"/>
    </xf>
    <xf numFmtId="165" fontId="9" fillId="6" borderId="0" xfId="0" applyNumberFormat="1" applyFont="1" applyFill="1" applyAlignment="1">
      <alignment horizontal="center"/>
    </xf>
    <xf numFmtId="164" fontId="9" fillId="6" borderId="0" xfId="0" applyNumberFormat="1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44" fontId="0" fillId="0" borderId="0" xfId="1" applyFont="1"/>
    <xf numFmtId="1" fontId="0" fillId="0" borderId="0" xfId="0" applyNumberFormat="1"/>
    <xf numFmtId="44" fontId="7" fillId="0" borderId="0" xfId="1" applyFont="1" applyAlignment="1">
      <alignment vertical="center"/>
    </xf>
    <xf numFmtId="44" fontId="5" fillId="0" borderId="0" xfId="1" applyFont="1" applyAlignment="1">
      <alignment vertical="center"/>
    </xf>
    <xf numFmtId="1" fontId="7" fillId="0" borderId="0" xfId="0" applyNumberFormat="1" applyFont="1" applyAlignment="1">
      <alignment vertical="center"/>
    </xf>
    <xf numFmtId="1" fontId="5" fillId="0" borderId="0" xfId="0" applyNumberFormat="1" applyFont="1" applyAlignment="1">
      <alignment vertical="center"/>
    </xf>
    <xf numFmtId="44" fontId="9" fillId="6" borderId="0" xfId="1" applyFont="1" applyFill="1" applyAlignment="1">
      <alignment horizontal="left" vertical="top"/>
    </xf>
    <xf numFmtId="44" fontId="0" fillId="0" borderId="0" xfId="1" applyFont="1" applyAlignment="1">
      <alignment horizontal="left" vertical="top"/>
    </xf>
  </cellXfs>
  <cellStyles count="2">
    <cellStyle name="Currency" xfId="1" builtinId="4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5" formatCode="\$#,##0;[Red]\(\$#,##0\);\-"/>
      <alignment horizontal="general" vertical="center" textRotation="0" wrapText="0" indent="0" justifyLastLine="0" shrinkToFit="0" readingOrder="0"/>
    </dxf>
    <dxf>
      <numFmt numFmtId="165" formatCode="\$#,##0;[Red]\(\$#,##0\);\-"/>
      <alignment horizontal="general" vertical="center" textRotation="0" wrapText="0" indent="0" justifyLastLine="0" shrinkToFit="0" readingOrder="0"/>
    </dxf>
    <dxf>
      <numFmt numFmtId="165" formatCode="\$#,##0;[Red]\(\$#,##0\);\-"/>
      <alignment horizontal="general" vertical="center" textRotation="0" wrapText="0" indent="0" justifyLastLine="0" shrinkToFit="0" readingOrder="0"/>
    </dxf>
    <dxf>
      <numFmt numFmtId="165" formatCode="\$#,##0;[Red]\(\$#,##0\);\-"/>
      <alignment horizontal="general" vertical="center" textRotation="0" wrapText="0" indent="0" justifyLastLine="0" shrinkToFit="0" readingOrder="0"/>
    </dxf>
    <dxf>
      <numFmt numFmtId="165" formatCode="\$#,##0;[Red]\(\$#,##0\);\-"/>
      <alignment horizontal="general" vertical="center" textRotation="0" wrapText="0" indent="0" justifyLastLine="0" shrinkToFit="0" readingOrder="0"/>
    </dxf>
    <dxf>
      <numFmt numFmtId="165" formatCode="\$#,##0;[Red]\(\$#,##0\);\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2565400</xdr:colOff>
      <xdr:row>66</xdr:row>
      <xdr:rowOff>12700</xdr:rowOff>
    </xdr:to>
    <xdr:sp macro="" textlink="">
      <xdr:nvSpPr>
        <xdr:cNvPr id="2130" name="Text Box 82" hidden="1">
          <a:extLst>
            <a:ext uri="{FF2B5EF4-FFF2-40B4-BE49-F238E27FC236}">
              <a16:creationId xmlns:a16="http://schemas.microsoft.com/office/drawing/2014/main" id="{24008ABD-90B3-442B-1C40-9995F22DEBB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2336800</xdr:colOff>
      <xdr:row>66</xdr:row>
      <xdr:rowOff>127000</xdr:rowOff>
    </xdr:to>
    <xdr:sp macro="" textlink="">
      <xdr:nvSpPr>
        <xdr:cNvPr id="4178" name="Text Box 82" hidden="1">
          <a:extLst>
            <a:ext uri="{FF2B5EF4-FFF2-40B4-BE49-F238E27FC236}">
              <a16:creationId xmlns:a16="http://schemas.microsoft.com/office/drawing/2014/main" id="{2BEE3672-575D-1883-87CE-285379CA072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F43D1F-A990-C543-8183-4A4A3FCF65AC}" name="Table3" displayName="Table3" ref="A1:K82" totalsRowShown="0" headerRowDxfId="0" dataDxfId="1">
  <autoFilter ref="A1:K82" xr:uid="{BBF43D1F-A990-C543-8183-4A4A3FCF65AC}"/>
  <tableColumns count="11">
    <tableColumn id="1" xr3:uid="{A850143A-8CC0-3E4F-9B7B-895249EC7D9E}" name="Column1" dataDxfId="12"/>
    <tableColumn id="2" xr3:uid="{4BCA2A68-F0F4-1144-B2AE-496E5D5554E3}" name="Category" dataDxfId="11"/>
    <tableColumn id="3" xr3:uid="{DA543199-CF1B-2444-B6EC-9C7948C6D93F}" name="2021-22" dataDxfId="10"/>
    <tableColumn id="4" xr3:uid="{78B5AD14-4A39-2348-BCDB-35E67B8FDD72}" name="2022-23" dataDxfId="9"/>
    <tableColumn id="5" xr3:uid="{33D3911C-C28D-524D-A68A-829A5539253F}" name="2023-24" dataDxfId="8"/>
    <tableColumn id="6" xr3:uid="{9B235198-CE0C-9B4A-AD45-8B4C17DB07EE}" name="2024-25" dataDxfId="7"/>
    <tableColumn id="7" xr3:uid="{1BAD768D-4944-B247-88D3-751576A23F60}" name="2025-26" dataDxfId="6"/>
    <tableColumn id="8" xr3:uid="{DA68AADD-9A13-A646-8E73-1630BB976FB2}" name="2026-27" dataDxfId="5"/>
    <tableColumn id="9" xr3:uid="{DE528E8F-6BE6-2445-B04F-DEEEE44E8855}" name="Unit" dataDxfId="4"/>
    <tableColumn id="10" xr3:uid="{7ADF1744-9091-DB42-8395-83ED2208A07E}" name="Source / Method" dataDxfId="3"/>
    <tableColumn id="11" xr3:uid="{28C88C02-65B0-9645-A407-1B548A53915A}" name="Status" dataDxfId="2"/>
  </tableColumns>
  <tableStyleInfo name="TableStyleLight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A69553-3327-6841-AEDB-0DA04082C9DE}" name="Table2" displayName="Table2" ref="A1:G10" totalsRowShown="0">
  <autoFilter ref="A1:G10" xr:uid="{3CA69553-3327-6841-AEDB-0DA04082C9DE}"/>
  <tableColumns count="7">
    <tableColumn id="1" xr3:uid="{5183F4DA-039C-0C42-A566-14A319558A2B}" name="Column1"/>
    <tableColumn id="2" xr3:uid="{99A51702-CE2F-F443-8AD2-71A006CBBF7A}" name="2021-22"/>
    <tableColumn id="3" xr3:uid="{0AF1E74A-388B-524C-B94E-CEEFDC1F03CF}" name="2022-23"/>
    <tableColumn id="4" xr3:uid="{190EA4F6-0B34-6944-8FB7-07AA30867D19}" name="2023-24"/>
    <tableColumn id="5" xr3:uid="{2546B516-A3EC-C440-9F6C-B68E40C32F28}" name="2024-25"/>
    <tableColumn id="6" xr3:uid="{54E5DE2C-FAC3-5C4C-A806-5C095717898C}" name="2025-26"/>
    <tableColumn id="7" xr3:uid="{96EFAC87-5C21-7A42-8BA9-F8E81F935F90}" name="2026-27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workbookViewId="0">
      <selection sqref="A1:L1"/>
    </sheetView>
  </sheetViews>
  <sheetFormatPr baseColWidth="10" defaultColWidth="8.83203125" defaultRowHeight="15" x14ac:dyDescent="0.2"/>
  <cols>
    <col min="1" max="1" width="16" customWidth="1"/>
    <col min="2" max="12" width="14" customWidth="1"/>
  </cols>
  <sheetData>
    <row r="1" spans="1:12" ht="24" x14ac:dyDescent="0.2">
      <c r="A1" s="53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x14ac:dyDescent="0.2">
      <c r="A2" s="51" t="s">
        <v>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12" x14ac:dyDescent="0.2">
      <c r="A4" s="49" t="s">
        <v>2</v>
      </c>
      <c r="B4" s="50"/>
      <c r="C4" s="49" t="s">
        <v>3</v>
      </c>
      <c r="D4" s="50"/>
      <c r="E4" s="49" t="s">
        <v>4</v>
      </c>
      <c r="F4" s="50"/>
      <c r="G4" s="49" t="s">
        <v>5</v>
      </c>
      <c r="H4" s="50"/>
      <c r="I4" s="49" t="s">
        <v>6</v>
      </c>
      <c r="J4" s="50"/>
    </row>
    <row r="5" spans="1:12" x14ac:dyDescent="0.2">
      <c r="A5" s="55">
        <f>Master_Model!I3</f>
        <v>7403</v>
      </c>
      <c r="B5" s="50"/>
      <c r="C5" s="54">
        <f>Master_Model!I49</f>
        <v>11210427.359999999</v>
      </c>
      <c r="D5" s="50"/>
      <c r="E5" s="54">
        <f>Master_Model!J49</f>
        <v>12031865</v>
      </c>
      <c r="F5" s="50"/>
      <c r="G5" s="54">
        <f>Master_Model!J95</f>
        <v>1682309</v>
      </c>
      <c r="H5" s="50"/>
      <c r="I5" s="54">
        <f>Master_Model!J99</f>
        <v>38501968</v>
      </c>
      <c r="J5" s="50"/>
    </row>
    <row r="6" spans="1:12" x14ac:dyDescent="0.2">
      <c r="A6" s="50"/>
      <c r="B6" s="50"/>
      <c r="C6" s="50"/>
      <c r="D6" s="50"/>
      <c r="E6" s="50"/>
      <c r="F6" s="50"/>
      <c r="G6" s="50"/>
      <c r="H6" s="50"/>
      <c r="I6" s="50"/>
      <c r="J6" s="50"/>
    </row>
    <row r="8" spans="1:12" ht="45" customHeight="1" x14ac:dyDescent="0.2">
      <c r="A8" s="52" t="s">
        <v>7</v>
      </c>
      <c r="B8" s="50"/>
      <c r="C8" s="50"/>
      <c r="D8" s="50"/>
      <c r="E8" s="50"/>
      <c r="F8" s="50"/>
      <c r="G8" s="52" t="s">
        <v>8</v>
      </c>
      <c r="H8" s="50"/>
      <c r="I8" s="50"/>
      <c r="J8" s="50"/>
      <c r="K8" s="50"/>
      <c r="L8" s="50"/>
    </row>
    <row r="9" spans="1:12" ht="45" customHeight="1" x14ac:dyDescent="0.2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</row>
    <row r="10" spans="1:12" ht="45" customHeight="1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</row>
    <row r="11" spans="1:12" ht="45" customHeight="1" x14ac:dyDescent="0.2">
      <c r="A11" s="50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spans="1:12" ht="45" customHeight="1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</sheetData>
  <mergeCells count="14">
    <mergeCell ref="G8:L12"/>
    <mergeCell ref="A1:L1"/>
    <mergeCell ref="C5:D6"/>
    <mergeCell ref="A5:B6"/>
    <mergeCell ref="G5:H6"/>
    <mergeCell ref="E5:F6"/>
    <mergeCell ref="I5:J6"/>
    <mergeCell ref="A8:F12"/>
    <mergeCell ref="C4:D4"/>
    <mergeCell ref="A4:B4"/>
    <mergeCell ref="G4:H4"/>
    <mergeCell ref="A2:L2"/>
    <mergeCell ref="E4:F4"/>
    <mergeCell ref="I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5"/>
  <sheetViews>
    <sheetView showGridLines="0" workbookViewId="0">
      <selection activeCell="C87" sqref="C87"/>
    </sheetView>
  </sheetViews>
  <sheetFormatPr baseColWidth="10" defaultColWidth="8.83203125" defaultRowHeight="15" x14ac:dyDescent="0.2"/>
  <cols>
    <col min="1" max="1" width="15" customWidth="1"/>
    <col min="2" max="2" width="38" customWidth="1"/>
    <col min="3" max="8" width="11" customWidth="1"/>
    <col min="9" max="9" width="14" customWidth="1"/>
    <col min="10" max="10" width="42" customWidth="1"/>
    <col min="11" max="11" width="16" customWidth="1"/>
  </cols>
  <sheetData>
    <row r="1" spans="1:11" ht="24" x14ac:dyDescent="0.2">
      <c r="A1" s="53" t="s">
        <v>9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2">
      <c r="A2" s="51" t="s">
        <v>10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4" spans="1:1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x14ac:dyDescent="0.2">
      <c r="A5" s="3" t="s">
        <v>22</v>
      </c>
      <c r="B5" s="4" t="s">
        <v>23</v>
      </c>
      <c r="C5" s="5"/>
      <c r="D5" s="5"/>
      <c r="E5" s="5"/>
      <c r="F5" s="5"/>
      <c r="G5" s="5"/>
      <c r="H5" s="6">
        <v>0.03</v>
      </c>
      <c r="I5" s="7" t="s">
        <v>24</v>
      </c>
      <c r="J5" s="7" t="s">
        <v>25</v>
      </c>
      <c r="K5" s="7" t="s">
        <v>26</v>
      </c>
    </row>
    <row r="6" spans="1:11" x14ac:dyDescent="0.2">
      <c r="A6" s="8" t="s">
        <v>22</v>
      </c>
      <c r="B6" s="9" t="s">
        <v>27</v>
      </c>
      <c r="C6" s="10"/>
      <c r="D6" s="10"/>
      <c r="E6" s="10"/>
      <c r="F6" s="10"/>
      <c r="G6" s="10"/>
      <c r="H6" s="11">
        <v>3.2000000000000001E-2</v>
      </c>
      <c r="I6" s="1" t="s">
        <v>24</v>
      </c>
      <c r="J6" s="1" t="s">
        <v>25</v>
      </c>
      <c r="K6" s="1" t="s">
        <v>26</v>
      </c>
    </row>
    <row r="7" spans="1:11" x14ac:dyDescent="0.2">
      <c r="A7" s="8" t="s">
        <v>22</v>
      </c>
      <c r="B7" s="9" t="s">
        <v>28</v>
      </c>
      <c r="C7" s="10"/>
      <c r="D7" s="10"/>
      <c r="E7" s="10"/>
      <c r="F7" s="10"/>
      <c r="G7" s="10"/>
      <c r="H7" s="11">
        <v>9.2999999999999999E-2</v>
      </c>
      <c r="I7" s="1" t="s">
        <v>24</v>
      </c>
      <c r="J7" s="1" t="s">
        <v>25</v>
      </c>
      <c r="K7" s="1" t="s">
        <v>26</v>
      </c>
    </row>
    <row r="8" spans="1:11" x14ac:dyDescent="0.2">
      <c r="A8" s="8" t="s">
        <v>22</v>
      </c>
      <c r="B8" s="9" t="s">
        <v>29</v>
      </c>
      <c r="C8" s="10"/>
      <c r="D8" s="10"/>
      <c r="E8" s="10"/>
      <c r="F8" s="10"/>
      <c r="G8" s="10"/>
      <c r="H8" s="11">
        <v>3.2000000000000001E-2</v>
      </c>
      <c r="I8" s="1" t="s">
        <v>24</v>
      </c>
      <c r="J8" s="1" t="s">
        <v>25</v>
      </c>
      <c r="K8" s="1" t="s">
        <v>26</v>
      </c>
    </row>
    <row r="9" spans="1:11" x14ac:dyDescent="0.2">
      <c r="A9" s="8" t="s">
        <v>22</v>
      </c>
      <c r="B9" s="9" t="s">
        <v>30</v>
      </c>
      <c r="C9" s="10"/>
      <c r="D9" s="10"/>
      <c r="E9" s="10"/>
      <c r="F9" s="10"/>
      <c r="G9" s="10"/>
      <c r="H9" s="11">
        <v>4.3999999999999997E-2</v>
      </c>
      <c r="I9" s="1" t="s">
        <v>24</v>
      </c>
      <c r="J9" s="1" t="s">
        <v>25</v>
      </c>
      <c r="K9" s="1" t="s">
        <v>26</v>
      </c>
    </row>
    <row r="10" spans="1:11" x14ac:dyDescent="0.2">
      <c r="A10" s="8" t="s">
        <v>22</v>
      </c>
      <c r="B10" s="9" t="s">
        <v>31</v>
      </c>
      <c r="C10" s="10"/>
      <c r="D10" s="10"/>
      <c r="E10" s="10"/>
      <c r="F10" s="10"/>
      <c r="G10" s="10"/>
      <c r="H10" s="11">
        <v>0.03</v>
      </c>
      <c r="I10" s="1" t="s">
        <v>24</v>
      </c>
      <c r="J10" s="1" t="s">
        <v>25</v>
      </c>
      <c r="K10" s="1" t="s">
        <v>26</v>
      </c>
    </row>
    <row r="11" spans="1:11" x14ac:dyDescent="0.2">
      <c r="A11" s="8" t="s">
        <v>22</v>
      </c>
      <c r="B11" s="9" t="s">
        <v>32</v>
      </c>
      <c r="C11" s="10"/>
      <c r="D11" s="10"/>
      <c r="E11" s="10"/>
      <c r="F11" s="10"/>
      <c r="G11" s="10"/>
      <c r="H11" s="11">
        <v>4.2999999999999997E-2</v>
      </c>
      <c r="I11" s="1" t="s">
        <v>24</v>
      </c>
      <c r="J11" s="1" t="s">
        <v>25</v>
      </c>
      <c r="K11" s="1" t="s">
        <v>26</v>
      </c>
    </row>
    <row r="12" spans="1:11" x14ac:dyDescent="0.2">
      <c r="A12" s="8" t="s">
        <v>22</v>
      </c>
      <c r="B12" s="9" t="s">
        <v>33</v>
      </c>
      <c r="C12" s="10"/>
      <c r="D12" s="10"/>
      <c r="E12" s="10"/>
      <c r="F12" s="10"/>
      <c r="G12" s="10"/>
      <c r="H12" s="11">
        <v>0.08</v>
      </c>
      <c r="I12" s="1" t="s">
        <v>24</v>
      </c>
      <c r="J12" s="1" t="s">
        <v>25</v>
      </c>
      <c r="K12" s="1" t="s">
        <v>26</v>
      </c>
    </row>
    <row r="13" spans="1:11" x14ac:dyDescent="0.2">
      <c r="A13" s="3" t="s">
        <v>34</v>
      </c>
      <c r="B13" s="4" t="s">
        <v>35</v>
      </c>
      <c r="C13" s="12">
        <v>6992</v>
      </c>
      <c r="D13" s="12">
        <v>6953</v>
      </c>
      <c r="E13" s="12">
        <v>7249</v>
      </c>
      <c r="F13" s="12">
        <v>7262</v>
      </c>
      <c r="G13" s="12">
        <v>7403</v>
      </c>
      <c r="H13" s="13">
        <f>ROUND(G13*(1+$H$5),0)</f>
        <v>7625</v>
      </c>
      <c r="I13" s="7" t="s">
        <v>36</v>
      </c>
      <c r="J13" s="7" t="s">
        <v>37</v>
      </c>
      <c r="K13" s="7" t="s">
        <v>38</v>
      </c>
    </row>
    <row r="14" spans="1:11" x14ac:dyDescent="0.2">
      <c r="A14" s="8" t="s">
        <v>34</v>
      </c>
      <c r="B14" s="9" t="s">
        <v>39</v>
      </c>
      <c r="C14" s="14">
        <v>34</v>
      </c>
      <c r="D14" s="14">
        <v>36</v>
      </c>
      <c r="E14" s="14">
        <v>36</v>
      </c>
      <c r="F14" s="14">
        <v>36</v>
      </c>
      <c r="G14" s="14">
        <v>36</v>
      </c>
      <c r="H14" s="14">
        <v>36</v>
      </c>
      <c r="I14" s="1" t="s">
        <v>40</v>
      </c>
      <c r="J14" s="1" t="s">
        <v>41</v>
      </c>
      <c r="K14" s="1" t="s">
        <v>42</v>
      </c>
    </row>
    <row r="15" spans="1:11" x14ac:dyDescent="0.2">
      <c r="A15" s="3" t="s">
        <v>43</v>
      </c>
      <c r="B15" s="4" t="s">
        <v>44</v>
      </c>
      <c r="C15" s="12">
        <v>12920</v>
      </c>
      <c r="D15" s="12">
        <v>12920</v>
      </c>
      <c r="E15" s="12">
        <v>12920</v>
      </c>
      <c r="F15" s="12">
        <v>12920</v>
      </c>
      <c r="G15" s="12">
        <v>12920</v>
      </c>
      <c r="H15" s="12">
        <v>12920</v>
      </c>
      <c r="I15" s="7" t="s">
        <v>45</v>
      </c>
      <c r="J15" s="7" t="s">
        <v>46</v>
      </c>
      <c r="K15" s="7" t="s">
        <v>47</v>
      </c>
    </row>
    <row r="16" spans="1:11" x14ac:dyDescent="0.2">
      <c r="A16" s="8" t="s">
        <v>43</v>
      </c>
      <c r="B16" s="9" t="s">
        <v>48</v>
      </c>
      <c r="C16" s="14">
        <v>14000</v>
      </c>
      <c r="D16" s="14">
        <v>14000</v>
      </c>
      <c r="E16" s="14">
        <v>14000</v>
      </c>
      <c r="F16" s="14">
        <v>14000</v>
      </c>
      <c r="G16" s="14">
        <v>14000</v>
      </c>
      <c r="H16" s="14">
        <v>14000</v>
      </c>
      <c r="I16" s="1" t="s">
        <v>45</v>
      </c>
      <c r="J16" s="1" t="s">
        <v>49</v>
      </c>
      <c r="K16" s="1" t="s">
        <v>42</v>
      </c>
    </row>
    <row r="17" spans="1:11" x14ac:dyDescent="0.2">
      <c r="A17" s="3" t="s">
        <v>50</v>
      </c>
      <c r="B17" s="4" t="s">
        <v>51</v>
      </c>
      <c r="C17" s="12">
        <v>23</v>
      </c>
      <c r="D17" s="12">
        <v>23</v>
      </c>
      <c r="E17" s="12">
        <v>26</v>
      </c>
      <c r="F17" s="12">
        <v>25</v>
      </c>
      <c r="G17" s="12">
        <v>25</v>
      </c>
      <c r="H17" s="12">
        <v>25</v>
      </c>
      <c r="I17" s="7" t="s">
        <v>52</v>
      </c>
      <c r="J17" s="7" t="s">
        <v>53</v>
      </c>
      <c r="K17" s="7" t="s">
        <v>42</v>
      </c>
    </row>
    <row r="18" spans="1:11" x14ac:dyDescent="0.2">
      <c r="A18" s="8" t="s">
        <v>50</v>
      </c>
      <c r="B18" s="9" t="s">
        <v>54</v>
      </c>
      <c r="C18" s="14">
        <v>11</v>
      </c>
      <c r="D18" s="14">
        <v>12</v>
      </c>
      <c r="E18" s="14">
        <v>12</v>
      </c>
      <c r="F18" s="14">
        <v>9</v>
      </c>
      <c r="G18" s="14">
        <v>10</v>
      </c>
      <c r="H18" s="14">
        <v>10</v>
      </c>
      <c r="I18" s="1" t="s">
        <v>40</v>
      </c>
      <c r="J18" s="1" t="s">
        <v>53</v>
      </c>
      <c r="K18" s="1" t="s">
        <v>42</v>
      </c>
    </row>
    <row r="19" spans="1:11" x14ac:dyDescent="0.2">
      <c r="A19" s="8" t="s">
        <v>50</v>
      </c>
      <c r="B19" s="9" t="s">
        <v>55</v>
      </c>
      <c r="C19" s="14">
        <v>11</v>
      </c>
      <c r="D19" s="14">
        <v>11</v>
      </c>
      <c r="E19" s="14">
        <v>12</v>
      </c>
      <c r="F19" s="14">
        <v>14</v>
      </c>
      <c r="G19" s="14">
        <v>10</v>
      </c>
      <c r="H19" s="14">
        <v>11</v>
      </c>
      <c r="I19" s="1" t="s">
        <v>40</v>
      </c>
      <c r="J19" s="1" t="s">
        <v>53</v>
      </c>
      <c r="K19" s="1" t="s">
        <v>38</v>
      </c>
    </row>
    <row r="20" spans="1:11" x14ac:dyDescent="0.2">
      <c r="A20" s="8" t="s">
        <v>50</v>
      </c>
      <c r="B20" s="9" t="s">
        <v>56</v>
      </c>
      <c r="C20" s="14">
        <v>1</v>
      </c>
      <c r="D20" s="14">
        <v>1</v>
      </c>
      <c r="E20" s="14">
        <v>2</v>
      </c>
      <c r="F20" s="14">
        <v>2</v>
      </c>
      <c r="G20" s="14">
        <v>5</v>
      </c>
      <c r="H20" s="14">
        <v>4</v>
      </c>
      <c r="I20" s="1" t="s">
        <v>40</v>
      </c>
      <c r="J20" s="1" t="s">
        <v>53</v>
      </c>
      <c r="K20" s="1" t="s">
        <v>38</v>
      </c>
    </row>
    <row r="21" spans="1:11" x14ac:dyDescent="0.2">
      <c r="A21" s="8" t="s">
        <v>50</v>
      </c>
      <c r="B21" s="9" t="s">
        <v>57</v>
      </c>
      <c r="C21" s="14">
        <v>24</v>
      </c>
      <c r="D21" s="14">
        <v>21</v>
      </c>
      <c r="E21" s="14">
        <v>18</v>
      </c>
      <c r="F21" s="14">
        <v>20</v>
      </c>
      <c r="G21" s="14">
        <v>22</v>
      </c>
      <c r="H21" s="14">
        <v>22</v>
      </c>
      <c r="I21" s="1" t="s">
        <v>58</v>
      </c>
      <c r="J21" s="1" t="s">
        <v>53</v>
      </c>
      <c r="K21" s="1" t="s">
        <v>42</v>
      </c>
    </row>
    <row r="22" spans="1:11" x14ac:dyDescent="0.2">
      <c r="A22" s="3" t="s">
        <v>59</v>
      </c>
      <c r="B22" s="4" t="s">
        <v>60</v>
      </c>
      <c r="C22" s="12">
        <v>13</v>
      </c>
      <c r="D22" s="12">
        <v>15</v>
      </c>
      <c r="E22" s="12">
        <v>16</v>
      </c>
      <c r="F22" s="12">
        <v>23</v>
      </c>
      <c r="G22" s="12">
        <v>28</v>
      </c>
      <c r="H22" s="12">
        <v>30</v>
      </c>
      <c r="I22" s="7" t="s">
        <v>61</v>
      </c>
      <c r="J22" s="7" t="s">
        <v>62</v>
      </c>
      <c r="K22" s="7" t="s">
        <v>38</v>
      </c>
    </row>
    <row r="23" spans="1:11" x14ac:dyDescent="0.2">
      <c r="A23" s="8" t="s">
        <v>59</v>
      </c>
      <c r="B23" s="9" t="s">
        <v>63</v>
      </c>
      <c r="C23" s="14">
        <v>7</v>
      </c>
      <c r="D23" s="14">
        <v>6</v>
      </c>
      <c r="E23" s="14">
        <v>10</v>
      </c>
      <c r="F23" s="14">
        <v>11</v>
      </c>
      <c r="G23" s="14">
        <v>5</v>
      </c>
      <c r="H23" s="14">
        <v>6</v>
      </c>
      <c r="I23" s="1" t="s">
        <v>64</v>
      </c>
      <c r="J23" s="1" t="s">
        <v>62</v>
      </c>
      <c r="K23" s="1" t="s">
        <v>38</v>
      </c>
    </row>
    <row r="24" spans="1:11" x14ac:dyDescent="0.2">
      <c r="A24" s="8" t="s">
        <v>59</v>
      </c>
      <c r="B24" s="9" t="s">
        <v>65</v>
      </c>
      <c r="C24" s="14">
        <v>6</v>
      </c>
      <c r="D24" s="14">
        <v>6</v>
      </c>
      <c r="E24" s="14">
        <v>7</v>
      </c>
      <c r="F24" s="14">
        <v>7</v>
      </c>
      <c r="G24" s="14">
        <v>7</v>
      </c>
      <c r="H24" s="14">
        <v>8</v>
      </c>
      <c r="I24" s="1" t="s">
        <v>66</v>
      </c>
      <c r="J24" s="1" t="s">
        <v>62</v>
      </c>
      <c r="K24" s="1" t="s">
        <v>38</v>
      </c>
    </row>
    <row r="25" spans="1:11" x14ac:dyDescent="0.2">
      <c r="A25" s="3" t="s">
        <v>67</v>
      </c>
      <c r="B25" s="4" t="s">
        <v>68</v>
      </c>
      <c r="C25" s="15">
        <v>476</v>
      </c>
      <c r="D25" s="15">
        <v>540</v>
      </c>
      <c r="E25" s="15">
        <v>540</v>
      </c>
      <c r="F25" s="15">
        <v>560</v>
      </c>
      <c r="G25" s="15">
        <v>614</v>
      </c>
      <c r="H25" s="16">
        <f>ROUND(G25*(1+$H$10),0)</f>
        <v>632</v>
      </c>
      <c r="I25" s="7" t="s">
        <v>69</v>
      </c>
      <c r="J25" s="7" t="s">
        <v>70</v>
      </c>
      <c r="K25" s="7" t="s">
        <v>38</v>
      </c>
    </row>
    <row r="26" spans="1:11" x14ac:dyDescent="0.2">
      <c r="A26" s="8" t="s">
        <v>67</v>
      </c>
      <c r="B26" s="9" t="s">
        <v>71</v>
      </c>
      <c r="C26" s="17">
        <v>19</v>
      </c>
      <c r="D26" s="17">
        <v>21</v>
      </c>
      <c r="E26" s="17">
        <v>20</v>
      </c>
      <c r="F26" s="17">
        <v>22</v>
      </c>
      <c r="G26" s="17">
        <v>23</v>
      </c>
      <c r="H26" s="18">
        <f>ROUND(G26*(1+$H$11),0)</f>
        <v>24</v>
      </c>
      <c r="I26" s="1" t="s">
        <v>72</v>
      </c>
      <c r="J26" s="1" t="s">
        <v>70</v>
      </c>
      <c r="K26" s="1" t="s">
        <v>73</v>
      </c>
    </row>
    <row r="27" spans="1:11" x14ac:dyDescent="0.2">
      <c r="A27" s="8" t="s">
        <v>67</v>
      </c>
      <c r="B27" s="9" t="s">
        <v>74</v>
      </c>
      <c r="C27" s="19"/>
      <c r="D27" s="19"/>
      <c r="E27" s="19"/>
      <c r="F27" s="17">
        <v>27.5</v>
      </c>
      <c r="G27" s="17">
        <v>28.75</v>
      </c>
      <c r="H27" s="17">
        <v>29.75</v>
      </c>
      <c r="I27" s="1" t="s">
        <v>72</v>
      </c>
      <c r="J27" s="1" t="s">
        <v>75</v>
      </c>
      <c r="K27" s="1" t="s">
        <v>76</v>
      </c>
    </row>
    <row r="28" spans="1:11" x14ac:dyDescent="0.2">
      <c r="A28" s="8" t="s">
        <v>67</v>
      </c>
      <c r="B28" s="9" t="s">
        <v>77</v>
      </c>
      <c r="C28" s="19"/>
      <c r="D28" s="19"/>
      <c r="E28" s="19"/>
      <c r="F28" s="19"/>
      <c r="G28" s="17">
        <v>17</v>
      </c>
      <c r="H28" s="17">
        <v>17.5</v>
      </c>
      <c r="I28" s="1" t="s">
        <v>72</v>
      </c>
      <c r="J28" s="1" t="s">
        <v>78</v>
      </c>
      <c r="K28" s="1" t="s">
        <v>38</v>
      </c>
    </row>
    <row r="29" spans="1:11" x14ac:dyDescent="0.2">
      <c r="A29" s="8" t="s">
        <v>67</v>
      </c>
      <c r="B29" s="9" t="s">
        <v>79</v>
      </c>
      <c r="C29" s="19"/>
      <c r="D29" s="19"/>
      <c r="E29" s="19"/>
      <c r="F29" s="19"/>
      <c r="G29" s="17">
        <v>130</v>
      </c>
      <c r="H29" s="17">
        <v>135</v>
      </c>
      <c r="I29" s="1" t="s">
        <v>80</v>
      </c>
      <c r="J29" s="1" t="s">
        <v>81</v>
      </c>
      <c r="K29" s="1" t="s">
        <v>38</v>
      </c>
    </row>
    <row r="30" spans="1:11" x14ac:dyDescent="0.2">
      <c r="A30" s="8" t="s">
        <v>67</v>
      </c>
      <c r="B30" s="9" t="s">
        <v>82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" t="s">
        <v>83</v>
      </c>
      <c r="J30" s="1" t="s">
        <v>84</v>
      </c>
      <c r="K30" s="1" t="s">
        <v>85</v>
      </c>
    </row>
    <row r="31" spans="1:11" x14ac:dyDescent="0.2">
      <c r="A31" s="8" t="s">
        <v>67</v>
      </c>
      <c r="B31" s="9" t="s">
        <v>86</v>
      </c>
      <c r="C31" s="11">
        <v>0.15</v>
      </c>
      <c r="D31" s="11">
        <v>0.15</v>
      </c>
      <c r="E31" s="11">
        <v>0.2</v>
      </c>
      <c r="F31" s="11">
        <v>0.3</v>
      </c>
      <c r="G31" s="11">
        <v>0.3</v>
      </c>
      <c r="H31" s="11">
        <v>0.3</v>
      </c>
      <c r="I31" s="1" t="s">
        <v>24</v>
      </c>
      <c r="J31" s="1" t="s">
        <v>87</v>
      </c>
      <c r="K31" s="1" t="s">
        <v>76</v>
      </c>
    </row>
    <row r="32" spans="1:11" x14ac:dyDescent="0.2">
      <c r="A32" s="8" t="s">
        <v>67</v>
      </c>
      <c r="B32" s="9" t="s">
        <v>88</v>
      </c>
      <c r="C32" s="17">
        <v>22</v>
      </c>
      <c r="D32" s="17">
        <v>22.4</v>
      </c>
      <c r="E32" s="17">
        <v>23.4</v>
      </c>
      <c r="F32" s="17">
        <v>24.4</v>
      </c>
      <c r="G32" s="17">
        <v>25.4</v>
      </c>
      <c r="H32" s="18">
        <f>ROUND(G32*(1+$H$6),2)</f>
        <v>26.21</v>
      </c>
      <c r="I32" s="1" t="s">
        <v>72</v>
      </c>
      <c r="J32" s="1" t="s">
        <v>89</v>
      </c>
      <c r="K32" s="1" t="s">
        <v>76</v>
      </c>
    </row>
    <row r="33" spans="1:11" x14ac:dyDescent="0.2">
      <c r="A33" s="8" t="s">
        <v>67</v>
      </c>
      <c r="B33" s="9" t="s">
        <v>90</v>
      </c>
      <c r="C33" s="11">
        <v>0.16</v>
      </c>
      <c r="D33" s="11">
        <v>0.17</v>
      </c>
      <c r="E33" s="11">
        <v>0.18</v>
      </c>
      <c r="F33" s="11">
        <v>0.19</v>
      </c>
      <c r="G33" s="11">
        <v>0.2</v>
      </c>
      <c r="H33" s="11">
        <v>0.21</v>
      </c>
      <c r="I33" s="1" t="s">
        <v>24</v>
      </c>
      <c r="J33" s="1" t="s">
        <v>89</v>
      </c>
      <c r="K33" s="1" t="s">
        <v>76</v>
      </c>
    </row>
    <row r="34" spans="1:11" x14ac:dyDescent="0.2">
      <c r="A34" s="8" t="s">
        <v>67</v>
      </c>
      <c r="B34" s="9" t="s">
        <v>91</v>
      </c>
      <c r="C34" s="20">
        <v>380000</v>
      </c>
      <c r="D34" s="20">
        <v>400000</v>
      </c>
      <c r="E34" s="20">
        <v>460000</v>
      </c>
      <c r="F34" s="20">
        <v>520000</v>
      </c>
      <c r="G34" s="20">
        <v>600000</v>
      </c>
      <c r="H34" s="20">
        <v>660000</v>
      </c>
      <c r="I34" s="1" t="s">
        <v>92</v>
      </c>
      <c r="J34" s="1" t="s">
        <v>89</v>
      </c>
      <c r="K34" s="1" t="s">
        <v>76</v>
      </c>
    </row>
    <row r="35" spans="1:11" x14ac:dyDescent="0.2">
      <c r="A35" s="8" t="s">
        <v>67</v>
      </c>
      <c r="B35" s="9" t="s">
        <v>93</v>
      </c>
      <c r="C35" s="14">
        <v>2300</v>
      </c>
      <c r="D35" s="14">
        <v>2350</v>
      </c>
      <c r="E35" s="14">
        <v>2450</v>
      </c>
      <c r="F35" s="14">
        <v>2550</v>
      </c>
      <c r="G35" s="14">
        <v>2700</v>
      </c>
      <c r="H35" s="14">
        <v>2780</v>
      </c>
      <c r="I35" s="1" t="s">
        <v>94</v>
      </c>
      <c r="J35" s="1" t="s">
        <v>89</v>
      </c>
      <c r="K35" s="1" t="s">
        <v>76</v>
      </c>
    </row>
    <row r="36" spans="1:11" x14ac:dyDescent="0.2">
      <c r="A36" s="8" t="s">
        <v>67</v>
      </c>
      <c r="B36" s="9" t="s">
        <v>95</v>
      </c>
      <c r="C36" s="11">
        <v>0.77</v>
      </c>
      <c r="D36" s="11">
        <v>0.76</v>
      </c>
      <c r="E36" s="11">
        <v>0.78</v>
      </c>
      <c r="F36" s="11">
        <v>0.8</v>
      </c>
      <c r="G36" s="11">
        <v>0.82</v>
      </c>
      <c r="H36" s="11">
        <v>0.83</v>
      </c>
      <c r="I36" s="1" t="s">
        <v>24</v>
      </c>
      <c r="J36" s="1" t="s">
        <v>89</v>
      </c>
      <c r="K36" s="1" t="s">
        <v>76</v>
      </c>
    </row>
    <row r="37" spans="1:11" x14ac:dyDescent="0.2">
      <c r="A37" s="3" t="s">
        <v>96</v>
      </c>
      <c r="B37" s="4" t="s">
        <v>97</v>
      </c>
      <c r="C37" s="15">
        <v>13</v>
      </c>
      <c r="D37" s="15">
        <v>13.4</v>
      </c>
      <c r="E37" s="15">
        <v>14</v>
      </c>
      <c r="F37" s="15">
        <v>14.8</v>
      </c>
      <c r="G37" s="15">
        <v>15.5</v>
      </c>
      <c r="H37" s="16">
        <f>ROUND(G37*(1+$H$8),2)</f>
        <v>16</v>
      </c>
      <c r="I37" s="7" t="s">
        <v>98</v>
      </c>
      <c r="J37" s="7" t="s">
        <v>89</v>
      </c>
      <c r="K37" s="7" t="s">
        <v>76</v>
      </c>
    </row>
    <row r="38" spans="1:11" x14ac:dyDescent="0.2">
      <c r="A38" s="8" t="s">
        <v>96</v>
      </c>
      <c r="B38" s="9" t="s">
        <v>99</v>
      </c>
      <c r="C38" s="11">
        <v>0.04</v>
      </c>
      <c r="D38" s="11">
        <v>0.04</v>
      </c>
      <c r="E38" s="11">
        <v>0.04</v>
      </c>
      <c r="F38" s="11">
        <v>0.04</v>
      </c>
      <c r="G38" s="11">
        <v>0.04</v>
      </c>
      <c r="H38" s="11">
        <v>0.04</v>
      </c>
      <c r="I38" s="1" t="s">
        <v>24</v>
      </c>
      <c r="J38" s="1" t="s">
        <v>89</v>
      </c>
      <c r="K38" s="1" t="s">
        <v>100</v>
      </c>
    </row>
    <row r="39" spans="1:11" x14ac:dyDescent="0.2">
      <c r="A39" s="8" t="s">
        <v>96</v>
      </c>
      <c r="B39" s="9" t="s">
        <v>101</v>
      </c>
      <c r="C39" s="17">
        <v>3.6</v>
      </c>
      <c r="D39" s="17">
        <v>3.8</v>
      </c>
      <c r="E39" s="17">
        <v>4</v>
      </c>
      <c r="F39" s="17">
        <v>4.2</v>
      </c>
      <c r="G39" s="17">
        <v>4.5</v>
      </c>
      <c r="H39" s="18">
        <f>ROUND(G39*(1+$H$9),2)</f>
        <v>4.7</v>
      </c>
      <c r="I39" s="1" t="s">
        <v>98</v>
      </c>
      <c r="J39" s="1" t="s">
        <v>89</v>
      </c>
      <c r="K39" s="1" t="s">
        <v>76</v>
      </c>
    </row>
    <row r="40" spans="1:11" x14ac:dyDescent="0.2">
      <c r="A40" s="8" t="s">
        <v>96</v>
      </c>
      <c r="B40" s="9" t="s">
        <v>102</v>
      </c>
      <c r="C40" s="17">
        <v>15</v>
      </c>
      <c r="D40" s="17">
        <v>15</v>
      </c>
      <c r="E40" s="17">
        <v>15</v>
      </c>
      <c r="F40" s="17">
        <v>18</v>
      </c>
      <c r="G40" s="17">
        <v>20</v>
      </c>
      <c r="H40" s="17">
        <v>21</v>
      </c>
      <c r="I40" s="1" t="s">
        <v>103</v>
      </c>
      <c r="J40" s="1" t="s">
        <v>104</v>
      </c>
      <c r="K40" s="1" t="s">
        <v>76</v>
      </c>
    </row>
    <row r="41" spans="1:11" x14ac:dyDescent="0.2">
      <c r="A41" s="8" t="s">
        <v>96</v>
      </c>
      <c r="B41" s="9" t="s">
        <v>105</v>
      </c>
      <c r="C41" s="21">
        <v>2.6</v>
      </c>
      <c r="D41" s="21">
        <v>2.6</v>
      </c>
      <c r="E41" s="21">
        <v>2.6</v>
      </c>
      <c r="F41" s="21">
        <v>2.5</v>
      </c>
      <c r="G41" s="21">
        <v>2.5</v>
      </c>
      <c r="H41" s="21">
        <v>2.5</v>
      </c>
      <c r="I41" s="1" t="s">
        <v>106</v>
      </c>
      <c r="J41" s="1" t="s">
        <v>89</v>
      </c>
      <c r="K41" s="1" t="s">
        <v>100</v>
      </c>
    </row>
    <row r="42" spans="1:11" x14ac:dyDescent="0.2">
      <c r="A42" s="8" t="s">
        <v>96</v>
      </c>
      <c r="B42" s="9" t="s">
        <v>107</v>
      </c>
      <c r="C42" s="11">
        <v>0.05</v>
      </c>
      <c r="D42" s="11">
        <v>0.05</v>
      </c>
      <c r="E42" s="11">
        <v>0.05</v>
      </c>
      <c r="F42" s="11">
        <v>0.05</v>
      </c>
      <c r="G42" s="11">
        <v>0.05</v>
      </c>
      <c r="H42" s="11">
        <v>0.05</v>
      </c>
      <c r="I42" s="1" t="s">
        <v>24</v>
      </c>
      <c r="J42" s="1" t="s">
        <v>89</v>
      </c>
      <c r="K42" s="1" t="s">
        <v>100</v>
      </c>
    </row>
    <row r="43" spans="1:11" x14ac:dyDescent="0.2">
      <c r="A43" s="3" t="s">
        <v>108</v>
      </c>
      <c r="B43" s="4" t="s">
        <v>109</v>
      </c>
      <c r="C43" s="22">
        <v>1950000</v>
      </c>
      <c r="D43" s="22">
        <v>2000000</v>
      </c>
      <c r="E43" s="22">
        <v>2200000</v>
      </c>
      <c r="F43" s="22">
        <v>2450000</v>
      </c>
      <c r="G43" s="22">
        <v>2700000</v>
      </c>
      <c r="H43" s="16">
        <f>ROUND(G43*(1+$H$7),0)</f>
        <v>2951100</v>
      </c>
      <c r="I43" s="7" t="s">
        <v>92</v>
      </c>
      <c r="J43" s="7" t="s">
        <v>89</v>
      </c>
      <c r="K43" s="7" t="s">
        <v>76</v>
      </c>
    </row>
    <row r="44" spans="1:11" x14ac:dyDescent="0.2">
      <c r="A44" s="8" t="s">
        <v>108</v>
      </c>
      <c r="B44" s="9" t="s">
        <v>110</v>
      </c>
      <c r="C44" s="20">
        <v>450000</v>
      </c>
      <c r="D44" s="20">
        <v>450000</v>
      </c>
      <c r="E44" s="20">
        <v>480000</v>
      </c>
      <c r="F44" s="20">
        <v>500000</v>
      </c>
      <c r="G44" s="20">
        <v>550000</v>
      </c>
      <c r="H44" s="20">
        <v>580000</v>
      </c>
      <c r="I44" s="1" t="s">
        <v>92</v>
      </c>
      <c r="J44" s="1" t="s">
        <v>89</v>
      </c>
      <c r="K44" s="1" t="s">
        <v>100</v>
      </c>
    </row>
    <row r="45" spans="1:11" x14ac:dyDescent="0.2">
      <c r="A45" s="8" t="s">
        <v>108</v>
      </c>
      <c r="B45" s="9" t="s">
        <v>111</v>
      </c>
      <c r="C45" s="17">
        <v>0</v>
      </c>
      <c r="D45" s="17">
        <v>0</v>
      </c>
      <c r="E45" s="20">
        <v>150000</v>
      </c>
      <c r="F45" s="20">
        <v>180000</v>
      </c>
      <c r="G45" s="20">
        <v>200000</v>
      </c>
      <c r="H45" s="20">
        <v>220000</v>
      </c>
      <c r="I45" s="1" t="s">
        <v>92</v>
      </c>
      <c r="J45" s="1" t="s">
        <v>89</v>
      </c>
      <c r="K45" s="1" t="s">
        <v>100</v>
      </c>
    </row>
    <row r="46" spans="1:11" x14ac:dyDescent="0.2">
      <c r="A46" s="8" t="s">
        <v>108</v>
      </c>
      <c r="B46" s="9" t="s">
        <v>112</v>
      </c>
      <c r="C46" s="20">
        <v>80000</v>
      </c>
      <c r="D46" s="20">
        <v>90000</v>
      </c>
      <c r="E46" s="20">
        <v>110000</v>
      </c>
      <c r="F46" s="20">
        <v>130000</v>
      </c>
      <c r="G46" s="20">
        <v>150000</v>
      </c>
      <c r="H46" s="20">
        <v>165000</v>
      </c>
      <c r="I46" s="1" t="s">
        <v>92</v>
      </c>
      <c r="J46" s="1" t="s">
        <v>89</v>
      </c>
      <c r="K46" s="1" t="s">
        <v>100</v>
      </c>
    </row>
    <row r="47" spans="1:11" x14ac:dyDescent="0.2">
      <c r="A47" s="3" t="s">
        <v>113</v>
      </c>
      <c r="B47" s="4" t="s">
        <v>114</v>
      </c>
      <c r="C47" s="22">
        <v>150000</v>
      </c>
      <c r="D47" s="22">
        <v>100000</v>
      </c>
      <c r="E47" s="22">
        <v>100000</v>
      </c>
      <c r="F47" s="22">
        <v>110000</v>
      </c>
      <c r="G47" s="22">
        <v>130000</v>
      </c>
      <c r="H47" s="22">
        <v>145000</v>
      </c>
      <c r="I47" s="7" t="s">
        <v>92</v>
      </c>
      <c r="J47" s="7" t="s">
        <v>115</v>
      </c>
      <c r="K47" s="7" t="s">
        <v>100</v>
      </c>
    </row>
    <row r="48" spans="1:11" x14ac:dyDescent="0.2">
      <c r="A48" s="3" t="s">
        <v>116</v>
      </c>
      <c r="B48" s="4" t="s">
        <v>117</v>
      </c>
      <c r="C48" s="12">
        <v>18000</v>
      </c>
      <c r="D48" s="12">
        <v>19000</v>
      </c>
      <c r="E48" s="12">
        <v>20000</v>
      </c>
      <c r="F48" s="12">
        <v>21000</v>
      </c>
      <c r="G48" s="12">
        <v>22000</v>
      </c>
      <c r="H48" s="12">
        <v>23000</v>
      </c>
      <c r="I48" s="7" t="s">
        <v>118</v>
      </c>
      <c r="J48" s="7" t="s">
        <v>89</v>
      </c>
      <c r="K48" s="7" t="s">
        <v>100</v>
      </c>
    </row>
    <row r="49" spans="1:11" x14ac:dyDescent="0.2">
      <c r="A49" s="8" t="s">
        <v>116</v>
      </c>
      <c r="B49" s="9" t="s">
        <v>119</v>
      </c>
      <c r="C49" s="14">
        <v>150000</v>
      </c>
      <c r="D49" s="14">
        <v>165000</v>
      </c>
      <c r="E49" s="14">
        <v>180000</v>
      </c>
      <c r="F49" s="14">
        <v>195000</v>
      </c>
      <c r="G49" s="14">
        <v>205000</v>
      </c>
      <c r="H49" s="14">
        <v>215000</v>
      </c>
      <c r="I49" s="1" t="s">
        <v>120</v>
      </c>
      <c r="J49" s="1" t="s">
        <v>121</v>
      </c>
      <c r="K49" s="1" t="s">
        <v>100</v>
      </c>
    </row>
    <row r="50" spans="1:11" x14ac:dyDescent="0.2">
      <c r="A50" s="8" t="s">
        <v>116</v>
      </c>
      <c r="B50" s="9" t="s">
        <v>122</v>
      </c>
      <c r="C50" s="14">
        <v>28000</v>
      </c>
      <c r="D50" s="14">
        <v>29000</v>
      </c>
      <c r="E50" s="14">
        <v>31000</v>
      </c>
      <c r="F50" s="14">
        <v>33000</v>
      </c>
      <c r="G50" s="14">
        <v>35200</v>
      </c>
      <c r="H50" s="23">
        <f>ROUND(G50*(1+$H$12),0)</f>
        <v>38016</v>
      </c>
      <c r="I50" s="1" t="s">
        <v>123</v>
      </c>
      <c r="J50" s="1" t="s">
        <v>124</v>
      </c>
      <c r="K50" s="1" t="s">
        <v>76</v>
      </c>
    </row>
    <row r="51" spans="1:11" x14ac:dyDescent="0.2">
      <c r="A51" s="8" t="s">
        <v>116</v>
      </c>
      <c r="B51" s="9" t="s">
        <v>125</v>
      </c>
      <c r="C51" s="11">
        <v>0.5</v>
      </c>
      <c r="D51" s="11">
        <v>0.495</v>
      </c>
      <c r="E51" s="11">
        <v>0.49</v>
      </c>
      <c r="F51" s="11">
        <v>0.48</v>
      </c>
      <c r="G51" s="11">
        <v>0.47249999999999998</v>
      </c>
      <c r="H51" s="11">
        <v>0.46500000000000002</v>
      </c>
      <c r="I51" s="1" t="s">
        <v>24</v>
      </c>
      <c r="J51" s="1" t="s">
        <v>124</v>
      </c>
      <c r="K51" s="1" t="s">
        <v>76</v>
      </c>
    </row>
    <row r="52" spans="1:11" x14ac:dyDescent="0.2">
      <c r="A52" s="8" t="s">
        <v>116</v>
      </c>
      <c r="B52" s="9" t="s">
        <v>126</v>
      </c>
      <c r="C52" s="21">
        <v>1.55</v>
      </c>
      <c r="D52" s="21">
        <v>1.6</v>
      </c>
      <c r="E52" s="21">
        <v>1.65</v>
      </c>
      <c r="F52" s="21">
        <v>1.72</v>
      </c>
      <c r="G52" s="21">
        <v>1.8</v>
      </c>
      <c r="H52" s="21">
        <v>1.9</v>
      </c>
      <c r="I52" s="1" t="s">
        <v>127</v>
      </c>
      <c r="J52" s="1" t="s">
        <v>124</v>
      </c>
      <c r="K52" s="1" t="s">
        <v>76</v>
      </c>
    </row>
    <row r="53" spans="1:11" x14ac:dyDescent="0.2">
      <c r="A53" s="8" t="s">
        <v>116</v>
      </c>
      <c r="B53" s="9" t="s">
        <v>128</v>
      </c>
      <c r="C53" s="21">
        <v>60</v>
      </c>
      <c r="D53" s="21">
        <v>62</v>
      </c>
      <c r="E53" s="21">
        <v>65</v>
      </c>
      <c r="F53" s="21">
        <v>68</v>
      </c>
      <c r="G53" s="21">
        <v>70</v>
      </c>
      <c r="H53" s="21">
        <v>75</v>
      </c>
      <c r="I53" s="1" t="s">
        <v>129</v>
      </c>
      <c r="J53" s="1" t="s">
        <v>124</v>
      </c>
      <c r="K53" s="1" t="s">
        <v>76</v>
      </c>
    </row>
    <row r="54" spans="1:11" x14ac:dyDescent="0.2">
      <c r="A54" s="8" t="s">
        <v>116</v>
      </c>
      <c r="B54" s="9" t="s">
        <v>130</v>
      </c>
      <c r="C54" s="11">
        <v>0.4</v>
      </c>
      <c r="D54" s="11">
        <v>0.41</v>
      </c>
      <c r="E54" s="11">
        <v>0.43</v>
      </c>
      <c r="F54" s="11">
        <v>0.44</v>
      </c>
      <c r="G54" s="11">
        <v>0.4551</v>
      </c>
      <c r="H54" s="11">
        <v>0.46</v>
      </c>
      <c r="I54" s="1" t="s">
        <v>24</v>
      </c>
      <c r="J54" s="1" t="s">
        <v>124</v>
      </c>
      <c r="K54" s="1" t="s">
        <v>76</v>
      </c>
    </row>
    <row r="55" spans="1:11" x14ac:dyDescent="0.2">
      <c r="A55" s="3" t="s">
        <v>59</v>
      </c>
      <c r="B55" s="4" t="s">
        <v>131</v>
      </c>
      <c r="C55" s="15">
        <v>45</v>
      </c>
      <c r="D55" s="15">
        <v>44</v>
      </c>
      <c r="E55" s="15">
        <v>42</v>
      </c>
      <c r="F55" s="15">
        <v>40</v>
      </c>
      <c r="G55" s="15">
        <v>39</v>
      </c>
      <c r="H55" s="15">
        <v>37</v>
      </c>
      <c r="I55" s="7" t="s">
        <v>132</v>
      </c>
      <c r="J55" s="7" t="s">
        <v>89</v>
      </c>
      <c r="K55" s="7" t="s">
        <v>100</v>
      </c>
    </row>
    <row r="56" spans="1:11" x14ac:dyDescent="0.2">
      <c r="A56" s="8" t="s">
        <v>59</v>
      </c>
      <c r="B56" s="9" t="s">
        <v>133</v>
      </c>
      <c r="C56" s="14">
        <v>45</v>
      </c>
      <c r="D56" s="14">
        <v>43</v>
      </c>
      <c r="E56" s="14">
        <v>46</v>
      </c>
      <c r="F56" s="14">
        <v>50</v>
      </c>
      <c r="G56" s="14">
        <v>54</v>
      </c>
      <c r="H56" s="14">
        <v>56</v>
      </c>
      <c r="I56" s="1" t="s">
        <v>134</v>
      </c>
      <c r="J56" s="1" t="s">
        <v>89</v>
      </c>
      <c r="K56" s="1" t="s">
        <v>100</v>
      </c>
    </row>
    <row r="57" spans="1:11" x14ac:dyDescent="0.2">
      <c r="A57" s="3" t="s">
        <v>135</v>
      </c>
      <c r="B57" s="4" t="s">
        <v>136</v>
      </c>
      <c r="C57" s="24"/>
      <c r="D57" s="24"/>
      <c r="E57" s="15">
        <v>2.5</v>
      </c>
      <c r="F57" s="15">
        <v>3</v>
      </c>
      <c r="G57" s="15">
        <v>3</v>
      </c>
      <c r="H57" s="15">
        <v>3</v>
      </c>
      <c r="I57" s="7" t="s">
        <v>72</v>
      </c>
      <c r="J57" s="7" t="s">
        <v>137</v>
      </c>
      <c r="K57" s="7" t="s">
        <v>100</v>
      </c>
    </row>
    <row r="58" spans="1:11" x14ac:dyDescent="0.2">
      <c r="A58" s="8" t="s">
        <v>135</v>
      </c>
      <c r="B58" s="9" t="s">
        <v>138</v>
      </c>
      <c r="C58" s="19"/>
      <c r="D58" s="19"/>
      <c r="E58" s="20">
        <v>775716</v>
      </c>
      <c r="F58" s="20">
        <v>799107</v>
      </c>
      <c r="G58" s="20">
        <v>823084</v>
      </c>
      <c r="H58" s="20">
        <v>839546</v>
      </c>
      <c r="I58" s="1" t="s">
        <v>92</v>
      </c>
      <c r="J58" s="1" t="s">
        <v>139</v>
      </c>
      <c r="K58" s="1" t="s">
        <v>38</v>
      </c>
    </row>
    <row r="59" spans="1:11" x14ac:dyDescent="0.2">
      <c r="A59" s="8" t="s">
        <v>135</v>
      </c>
      <c r="B59" s="9" t="s">
        <v>140</v>
      </c>
      <c r="C59" s="10"/>
      <c r="D59" s="10"/>
      <c r="E59" s="10"/>
      <c r="F59" s="11">
        <v>0.03</v>
      </c>
      <c r="G59" s="11">
        <v>0.03</v>
      </c>
      <c r="H59" s="11">
        <v>0.02</v>
      </c>
      <c r="I59" s="1" t="s">
        <v>24</v>
      </c>
      <c r="J59" s="1" t="s">
        <v>137</v>
      </c>
      <c r="K59" s="1" t="s">
        <v>141</v>
      </c>
    </row>
    <row r="60" spans="1:11" x14ac:dyDescent="0.2">
      <c r="A60" s="8" t="s">
        <v>135</v>
      </c>
      <c r="B60" s="9" t="s">
        <v>142</v>
      </c>
      <c r="C60" s="20">
        <v>12000</v>
      </c>
      <c r="D60" s="20">
        <v>12000</v>
      </c>
      <c r="E60" s="20">
        <v>13000</v>
      </c>
      <c r="F60" s="20">
        <v>14000</v>
      </c>
      <c r="G60" s="20">
        <v>15000</v>
      </c>
      <c r="H60" s="20">
        <v>15500</v>
      </c>
      <c r="I60" s="1" t="s">
        <v>92</v>
      </c>
      <c r="J60" s="1" t="s">
        <v>143</v>
      </c>
      <c r="K60" s="1" t="s">
        <v>100</v>
      </c>
    </row>
    <row r="61" spans="1:11" x14ac:dyDescent="0.2">
      <c r="A61" s="8" t="s">
        <v>135</v>
      </c>
      <c r="B61" s="9" t="s">
        <v>144</v>
      </c>
      <c r="C61" s="20">
        <v>180000</v>
      </c>
      <c r="D61" s="20">
        <v>190000</v>
      </c>
      <c r="E61" s="20">
        <v>210000</v>
      </c>
      <c r="F61" s="20">
        <v>230000</v>
      </c>
      <c r="G61" s="20">
        <v>250000</v>
      </c>
      <c r="H61" s="20">
        <v>260000</v>
      </c>
      <c r="I61" s="1" t="s">
        <v>92</v>
      </c>
      <c r="J61" s="1" t="s">
        <v>89</v>
      </c>
      <c r="K61" s="1" t="s">
        <v>100</v>
      </c>
    </row>
    <row r="62" spans="1:11" x14ac:dyDescent="0.2">
      <c r="A62" s="8" t="s">
        <v>135</v>
      </c>
      <c r="B62" s="9" t="s">
        <v>145</v>
      </c>
      <c r="C62" s="20">
        <v>80000</v>
      </c>
      <c r="D62" s="20">
        <v>85000</v>
      </c>
      <c r="E62" s="20">
        <v>90000</v>
      </c>
      <c r="F62" s="20">
        <v>95000</v>
      </c>
      <c r="G62" s="20">
        <v>100000</v>
      </c>
      <c r="H62" s="20">
        <v>105000</v>
      </c>
      <c r="I62" s="1" t="s">
        <v>92</v>
      </c>
      <c r="J62" s="1" t="s">
        <v>89</v>
      </c>
      <c r="K62" s="1" t="s">
        <v>100</v>
      </c>
    </row>
    <row r="63" spans="1:11" x14ac:dyDescent="0.2">
      <c r="A63" s="8" t="s">
        <v>135</v>
      </c>
      <c r="B63" s="9" t="s">
        <v>146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" t="s">
        <v>92</v>
      </c>
      <c r="J63" s="1" t="s">
        <v>147</v>
      </c>
      <c r="K63" s="1" t="s">
        <v>47</v>
      </c>
    </row>
    <row r="64" spans="1:11" x14ac:dyDescent="0.2">
      <c r="A64" s="8" t="s">
        <v>135</v>
      </c>
      <c r="B64" s="9" t="s">
        <v>148</v>
      </c>
      <c r="C64" s="25"/>
      <c r="D64" s="25"/>
      <c r="E64" s="14">
        <v>29</v>
      </c>
      <c r="F64" s="14">
        <v>17</v>
      </c>
      <c r="G64" s="14">
        <v>5</v>
      </c>
      <c r="H64" s="14">
        <v>0</v>
      </c>
      <c r="I64" s="1" t="s">
        <v>149</v>
      </c>
      <c r="J64" s="1" t="s">
        <v>150</v>
      </c>
      <c r="K64" s="1" t="s">
        <v>100</v>
      </c>
    </row>
    <row r="65" spans="1:11" x14ac:dyDescent="0.2">
      <c r="A65" s="8" t="s">
        <v>135</v>
      </c>
      <c r="B65" s="9" t="s">
        <v>151</v>
      </c>
      <c r="C65" s="20">
        <v>250000</v>
      </c>
      <c r="D65" s="20">
        <v>250000</v>
      </c>
      <c r="E65" s="20">
        <v>260000</v>
      </c>
      <c r="F65" s="20">
        <v>275000</v>
      </c>
      <c r="G65" s="20">
        <v>300000</v>
      </c>
      <c r="H65" s="20">
        <v>310000</v>
      </c>
      <c r="I65" s="1" t="s">
        <v>92</v>
      </c>
      <c r="J65" s="1" t="s">
        <v>89</v>
      </c>
      <c r="K65" s="1" t="s">
        <v>100</v>
      </c>
    </row>
    <row r="66" spans="1:11" x14ac:dyDescent="0.2">
      <c r="A66" s="8" t="s">
        <v>135</v>
      </c>
      <c r="B66" s="9" t="s">
        <v>152</v>
      </c>
      <c r="C66" s="20">
        <v>50000</v>
      </c>
      <c r="D66" s="20">
        <v>50000</v>
      </c>
      <c r="E66" s="20">
        <v>50000</v>
      </c>
      <c r="F66" s="20">
        <v>50000</v>
      </c>
      <c r="G66" s="20">
        <v>50000</v>
      </c>
      <c r="H66" s="20">
        <v>50000</v>
      </c>
      <c r="I66" s="1" t="s">
        <v>92</v>
      </c>
      <c r="J66" s="1" t="s">
        <v>89</v>
      </c>
      <c r="K66" s="1" t="s">
        <v>100</v>
      </c>
    </row>
    <row r="67" spans="1:11" x14ac:dyDescent="0.2">
      <c r="A67" s="8" t="s">
        <v>135</v>
      </c>
      <c r="B67" s="9" t="s">
        <v>153</v>
      </c>
      <c r="C67" s="11">
        <v>0.05</v>
      </c>
      <c r="D67" s="11">
        <v>0.05</v>
      </c>
      <c r="E67" s="11">
        <v>0.05</v>
      </c>
      <c r="F67" s="11">
        <v>0.05</v>
      </c>
      <c r="G67" s="11">
        <v>0.05</v>
      </c>
      <c r="H67" s="11">
        <v>0.05</v>
      </c>
      <c r="I67" s="1" t="s">
        <v>24</v>
      </c>
      <c r="J67" s="1" t="s">
        <v>89</v>
      </c>
      <c r="K67" s="1" t="s">
        <v>100</v>
      </c>
    </row>
    <row r="68" spans="1:11" x14ac:dyDescent="0.2">
      <c r="A68" s="3" t="s">
        <v>154</v>
      </c>
      <c r="B68" s="4" t="s">
        <v>155</v>
      </c>
      <c r="C68" s="12">
        <v>22</v>
      </c>
      <c r="D68" s="12">
        <v>24</v>
      </c>
      <c r="E68" s="12">
        <v>26</v>
      </c>
      <c r="F68" s="12">
        <v>22</v>
      </c>
      <c r="G68" s="12">
        <v>29</v>
      </c>
      <c r="H68" s="12">
        <v>29</v>
      </c>
      <c r="I68" s="7" t="s">
        <v>156</v>
      </c>
      <c r="J68" s="7" t="s">
        <v>157</v>
      </c>
      <c r="K68" s="7" t="s">
        <v>38</v>
      </c>
    </row>
    <row r="69" spans="1:11" x14ac:dyDescent="0.2">
      <c r="A69" s="8" t="s">
        <v>154</v>
      </c>
      <c r="B69" s="9" t="s">
        <v>158</v>
      </c>
      <c r="C69" s="20">
        <v>550000</v>
      </c>
      <c r="D69" s="20">
        <v>560000</v>
      </c>
      <c r="E69" s="20">
        <v>580000</v>
      </c>
      <c r="F69" s="20">
        <v>620000</v>
      </c>
      <c r="G69" s="20">
        <v>680000</v>
      </c>
      <c r="H69" s="20">
        <v>710000</v>
      </c>
      <c r="I69" s="1" t="s">
        <v>92</v>
      </c>
      <c r="J69" s="1" t="s">
        <v>89</v>
      </c>
      <c r="K69" s="1" t="s">
        <v>100</v>
      </c>
    </row>
    <row r="70" spans="1:11" x14ac:dyDescent="0.2">
      <c r="A70" s="8" t="s">
        <v>154</v>
      </c>
      <c r="B70" s="9" t="s">
        <v>159</v>
      </c>
      <c r="C70" s="14">
        <v>42</v>
      </c>
      <c r="D70" s="14">
        <v>43</v>
      </c>
      <c r="E70" s="14">
        <v>44</v>
      </c>
      <c r="F70" s="14">
        <v>45</v>
      </c>
      <c r="G70" s="14">
        <v>46</v>
      </c>
      <c r="H70" s="14">
        <v>47</v>
      </c>
      <c r="I70" s="1" t="s">
        <v>160</v>
      </c>
      <c r="J70" s="1" t="s">
        <v>161</v>
      </c>
      <c r="K70" s="1" t="s">
        <v>100</v>
      </c>
    </row>
    <row r="71" spans="1:11" x14ac:dyDescent="0.2">
      <c r="A71" s="8" t="s">
        <v>154</v>
      </c>
      <c r="B71" s="9" t="s">
        <v>162</v>
      </c>
      <c r="C71" s="20">
        <v>100000</v>
      </c>
      <c r="D71" s="20">
        <v>110000</v>
      </c>
      <c r="E71" s="20">
        <v>130000</v>
      </c>
      <c r="F71" s="20">
        <v>150000</v>
      </c>
      <c r="G71" s="20">
        <v>175000</v>
      </c>
      <c r="H71" s="20">
        <v>185000</v>
      </c>
      <c r="I71" s="1" t="s">
        <v>92</v>
      </c>
      <c r="J71" s="1" t="s">
        <v>89</v>
      </c>
      <c r="K71" s="1" t="s">
        <v>100</v>
      </c>
    </row>
    <row r="72" spans="1:11" x14ac:dyDescent="0.2">
      <c r="A72" s="8" t="s">
        <v>154</v>
      </c>
      <c r="B72" s="9" t="s">
        <v>163</v>
      </c>
      <c r="C72" s="11">
        <v>0.82</v>
      </c>
      <c r="D72" s="11">
        <v>0.82</v>
      </c>
      <c r="E72" s="11">
        <v>0.83</v>
      </c>
      <c r="F72" s="11">
        <v>0.84</v>
      </c>
      <c r="G72" s="11">
        <v>0.84</v>
      </c>
      <c r="H72" s="11">
        <v>0.84</v>
      </c>
      <c r="I72" s="1" t="s">
        <v>24</v>
      </c>
      <c r="J72" s="1" t="s">
        <v>89</v>
      </c>
      <c r="K72" s="1" t="s">
        <v>100</v>
      </c>
    </row>
    <row r="73" spans="1:11" x14ac:dyDescent="0.2">
      <c r="A73" s="8" t="s">
        <v>154</v>
      </c>
      <c r="B73" s="9" t="s">
        <v>164</v>
      </c>
      <c r="C73" s="20">
        <v>200000</v>
      </c>
      <c r="D73" s="20">
        <v>210000</v>
      </c>
      <c r="E73" s="20">
        <v>230000</v>
      </c>
      <c r="F73" s="20">
        <v>250000</v>
      </c>
      <c r="G73" s="20">
        <v>280000</v>
      </c>
      <c r="H73" s="20">
        <v>290000</v>
      </c>
      <c r="I73" s="1" t="s">
        <v>92</v>
      </c>
      <c r="J73" s="1" t="s">
        <v>89</v>
      </c>
      <c r="K73" s="1" t="s">
        <v>100</v>
      </c>
    </row>
    <row r="74" spans="1:11" x14ac:dyDescent="0.2">
      <c r="A74" s="8" t="s">
        <v>154</v>
      </c>
      <c r="B74" s="9" t="s">
        <v>165</v>
      </c>
      <c r="C74" s="20">
        <v>49000</v>
      </c>
      <c r="D74" s="20">
        <v>50000</v>
      </c>
      <c r="E74" s="20">
        <v>51500</v>
      </c>
      <c r="F74" s="20">
        <v>52725</v>
      </c>
      <c r="G74" s="20">
        <v>54000</v>
      </c>
      <c r="H74" s="20">
        <v>55620</v>
      </c>
      <c r="I74" s="1" t="s">
        <v>92</v>
      </c>
      <c r="J74" s="1" t="s">
        <v>166</v>
      </c>
      <c r="K74" s="1" t="s">
        <v>76</v>
      </c>
    </row>
    <row r="75" spans="1:11" x14ac:dyDescent="0.2">
      <c r="A75" s="8" t="s">
        <v>154</v>
      </c>
      <c r="B75" s="9" t="s">
        <v>167</v>
      </c>
      <c r="C75" s="20">
        <v>65000</v>
      </c>
      <c r="D75" s="20">
        <v>66000</v>
      </c>
      <c r="E75" s="20">
        <v>70000</v>
      </c>
      <c r="F75" s="20">
        <v>74000</v>
      </c>
      <c r="G75" s="20">
        <v>78000</v>
      </c>
      <c r="H75" s="20">
        <v>80000</v>
      </c>
      <c r="I75" s="1" t="s">
        <v>92</v>
      </c>
      <c r="J75" s="1" t="s">
        <v>89</v>
      </c>
      <c r="K75" s="1" t="s">
        <v>100</v>
      </c>
    </row>
    <row r="76" spans="1:11" x14ac:dyDescent="0.2">
      <c r="A76" s="8" t="s">
        <v>154</v>
      </c>
      <c r="B76" s="9" t="s">
        <v>168</v>
      </c>
      <c r="C76" s="20">
        <v>200000</v>
      </c>
      <c r="D76" s="20">
        <v>210000</v>
      </c>
      <c r="E76" s="20">
        <v>230000</v>
      </c>
      <c r="F76" s="20">
        <v>250000</v>
      </c>
      <c r="G76" s="20">
        <v>270000</v>
      </c>
      <c r="H76" s="20">
        <v>280000</v>
      </c>
      <c r="I76" s="1" t="s">
        <v>92</v>
      </c>
      <c r="J76" s="1" t="s">
        <v>89</v>
      </c>
      <c r="K76" s="1" t="s">
        <v>100</v>
      </c>
    </row>
    <row r="77" spans="1:11" x14ac:dyDescent="0.2">
      <c r="A77" s="8" t="s">
        <v>154</v>
      </c>
      <c r="B77" s="9" t="s">
        <v>169</v>
      </c>
      <c r="C77" s="20">
        <v>150000</v>
      </c>
      <c r="D77" s="20">
        <v>155000</v>
      </c>
      <c r="E77" s="20">
        <v>165000</v>
      </c>
      <c r="F77" s="20">
        <v>175000</v>
      </c>
      <c r="G77" s="20">
        <v>190000</v>
      </c>
      <c r="H77" s="20">
        <v>195000</v>
      </c>
      <c r="I77" s="1" t="s">
        <v>92</v>
      </c>
      <c r="J77" s="1" t="s">
        <v>89</v>
      </c>
      <c r="K77" s="1" t="s">
        <v>100</v>
      </c>
    </row>
    <row r="78" spans="1:11" x14ac:dyDescent="0.2">
      <c r="A78" s="8" t="s">
        <v>154</v>
      </c>
      <c r="B78" s="9" t="s">
        <v>170</v>
      </c>
      <c r="C78" s="14">
        <v>8</v>
      </c>
      <c r="D78" s="14">
        <v>8</v>
      </c>
      <c r="E78" s="14">
        <v>9</v>
      </c>
      <c r="F78" s="14">
        <v>9</v>
      </c>
      <c r="G78" s="14">
        <v>15</v>
      </c>
      <c r="H78" s="14">
        <v>15</v>
      </c>
      <c r="I78" s="1" t="s">
        <v>156</v>
      </c>
      <c r="J78" s="1" t="s">
        <v>157</v>
      </c>
      <c r="K78" s="1" t="s">
        <v>100</v>
      </c>
    </row>
    <row r="79" spans="1:11" x14ac:dyDescent="0.2">
      <c r="A79" s="3" t="s">
        <v>171</v>
      </c>
      <c r="B79" s="4" t="s">
        <v>172</v>
      </c>
      <c r="C79" s="22">
        <v>4200000</v>
      </c>
      <c r="D79" s="22">
        <v>4300000</v>
      </c>
      <c r="E79" s="22">
        <v>4400000</v>
      </c>
      <c r="F79" s="22">
        <v>4500000</v>
      </c>
      <c r="G79" s="22">
        <v>4700000</v>
      </c>
      <c r="H79" s="22">
        <v>4900000</v>
      </c>
      <c r="I79" s="7" t="s">
        <v>92</v>
      </c>
      <c r="J79" s="7" t="s">
        <v>89</v>
      </c>
      <c r="K79" s="7" t="s">
        <v>100</v>
      </c>
    </row>
    <row r="80" spans="1:11" x14ac:dyDescent="0.2">
      <c r="A80" s="8" t="s">
        <v>171</v>
      </c>
      <c r="B80" s="9" t="s">
        <v>173</v>
      </c>
      <c r="C80" s="20">
        <v>80000</v>
      </c>
      <c r="D80" s="20">
        <v>90000</v>
      </c>
      <c r="E80" s="20">
        <v>100000</v>
      </c>
      <c r="F80" s="20">
        <v>120000</v>
      </c>
      <c r="G80" s="20">
        <v>140000</v>
      </c>
      <c r="H80" s="20">
        <v>160000</v>
      </c>
      <c r="I80" s="1" t="s">
        <v>92</v>
      </c>
      <c r="J80" s="1" t="s">
        <v>89</v>
      </c>
      <c r="K80" s="1" t="s">
        <v>100</v>
      </c>
    </row>
    <row r="81" spans="1:11" x14ac:dyDescent="0.2">
      <c r="A81" s="8" t="s">
        <v>171</v>
      </c>
      <c r="B81" s="9" t="s">
        <v>174</v>
      </c>
      <c r="C81" s="20">
        <v>200000</v>
      </c>
      <c r="D81" s="20">
        <v>220000</v>
      </c>
      <c r="E81" s="20">
        <v>240000</v>
      </c>
      <c r="F81" s="20">
        <v>260000</v>
      </c>
      <c r="G81" s="20">
        <v>280000</v>
      </c>
      <c r="H81" s="20">
        <v>300000</v>
      </c>
      <c r="I81" s="1" t="s">
        <v>92</v>
      </c>
      <c r="J81" s="1" t="s">
        <v>175</v>
      </c>
      <c r="K81" s="1" t="s">
        <v>100</v>
      </c>
    </row>
    <row r="82" spans="1:11" x14ac:dyDescent="0.2">
      <c r="A82" s="8" t="s">
        <v>171</v>
      </c>
      <c r="B82" s="9" t="s">
        <v>176</v>
      </c>
      <c r="C82" s="20">
        <v>650000</v>
      </c>
      <c r="D82" s="20">
        <v>700000</v>
      </c>
      <c r="E82" s="20">
        <v>750000</v>
      </c>
      <c r="F82" s="20">
        <v>800000</v>
      </c>
      <c r="G82" s="20">
        <v>900000</v>
      </c>
      <c r="H82" s="20">
        <v>950000</v>
      </c>
      <c r="I82" s="1" t="s">
        <v>92</v>
      </c>
      <c r="J82" s="1" t="s">
        <v>89</v>
      </c>
      <c r="K82" s="1" t="s">
        <v>100</v>
      </c>
    </row>
    <row r="83" spans="1:11" x14ac:dyDescent="0.2">
      <c r="A83" s="8" t="s">
        <v>171</v>
      </c>
      <c r="B83" s="9" t="s">
        <v>177</v>
      </c>
      <c r="C83" s="20">
        <v>300000</v>
      </c>
      <c r="D83" s="20">
        <v>325000</v>
      </c>
      <c r="E83" s="20">
        <v>350000</v>
      </c>
      <c r="F83" s="20">
        <v>375000</v>
      </c>
      <c r="G83" s="20">
        <v>425000</v>
      </c>
      <c r="H83" s="20">
        <v>450000</v>
      </c>
      <c r="I83" s="1" t="s">
        <v>92</v>
      </c>
      <c r="J83" s="1" t="s">
        <v>89</v>
      </c>
      <c r="K83" s="1" t="s">
        <v>100</v>
      </c>
    </row>
    <row r="84" spans="1:11" x14ac:dyDescent="0.2">
      <c r="A84" s="3" t="s">
        <v>178</v>
      </c>
      <c r="B84" s="4" t="s">
        <v>179</v>
      </c>
      <c r="C84" s="26">
        <v>3.2</v>
      </c>
      <c r="D84" s="26">
        <v>3.2</v>
      </c>
      <c r="E84" s="26">
        <v>3.2</v>
      </c>
      <c r="F84" s="26">
        <v>3.2</v>
      </c>
      <c r="G84" s="26">
        <v>3.2</v>
      </c>
      <c r="H84" s="26">
        <v>3.2</v>
      </c>
      <c r="I84" s="7" t="s">
        <v>180</v>
      </c>
      <c r="J84" s="7" t="s">
        <v>25</v>
      </c>
      <c r="K84" s="7" t="s">
        <v>26</v>
      </c>
    </row>
    <row r="85" spans="1:11" x14ac:dyDescent="0.2">
      <c r="A85" s="3" t="s">
        <v>116</v>
      </c>
      <c r="B85" s="4" t="s">
        <v>181</v>
      </c>
      <c r="C85" s="15">
        <v>5</v>
      </c>
      <c r="D85" s="15">
        <v>5</v>
      </c>
      <c r="E85" s="15">
        <v>5</v>
      </c>
      <c r="F85" s="15">
        <v>5</v>
      </c>
      <c r="G85" s="15">
        <v>5</v>
      </c>
      <c r="H85" s="15">
        <v>5</v>
      </c>
      <c r="I85" s="7" t="s">
        <v>182</v>
      </c>
      <c r="J85" s="7" t="s">
        <v>25</v>
      </c>
      <c r="K85" s="7" t="s">
        <v>26</v>
      </c>
    </row>
  </sheetData>
  <mergeCells count="2">
    <mergeCell ref="A2:K2"/>
    <mergeCell ref="A1:K1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9"/>
  <sheetViews>
    <sheetView showGridLines="0" workbookViewId="0">
      <selection activeCell="C106" sqref="C106"/>
    </sheetView>
  </sheetViews>
  <sheetFormatPr baseColWidth="10" defaultColWidth="8.83203125" defaultRowHeight="15" x14ac:dyDescent="0.2"/>
  <cols>
    <col min="1" max="1" width="6" customWidth="1"/>
    <col min="2" max="2" width="18" customWidth="1"/>
    <col min="3" max="3" width="34" customWidth="1"/>
    <col min="4" max="4" width="10" customWidth="1"/>
    <col min="5" max="10" width="12" customWidth="1"/>
    <col min="11" max="11" width="18" customWidth="1"/>
    <col min="12" max="12" width="11" customWidth="1"/>
    <col min="13" max="13" width="30" customWidth="1"/>
    <col min="14" max="14" width="40" customWidth="1"/>
  </cols>
  <sheetData>
    <row r="1" spans="1:14" x14ac:dyDescent="0.2">
      <c r="A1" s="2" t="s">
        <v>183</v>
      </c>
      <c r="B1" s="2" t="s">
        <v>184</v>
      </c>
      <c r="C1" s="2" t="s">
        <v>185</v>
      </c>
      <c r="D1" s="2" t="s">
        <v>19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21</v>
      </c>
      <c r="L1" s="2" t="s">
        <v>186</v>
      </c>
      <c r="M1" s="2" t="s">
        <v>187</v>
      </c>
      <c r="N1" s="2" t="s">
        <v>188</v>
      </c>
    </row>
    <row r="2" spans="1:14" x14ac:dyDescent="0.2">
      <c r="A2" s="56" t="s">
        <v>189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14" x14ac:dyDescent="0.2">
      <c r="A3" s="1">
        <v>1</v>
      </c>
      <c r="B3" s="9" t="s">
        <v>190</v>
      </c>
      <c r="C3" s="9" t="s">
        <v>35</v>
      </c>
      <c r="D3" s="9" t="s">
        <v>36</v>
      </c>
      <c r="E3" s="62">
        <f>Assumptions!C13</f>
        <v>6992</v>
      </c>
      <c r="F3" s="62">
        <f>Assumptions!D13</f>
        <v>6953</v>
      </c>
      <c r="G3" s="62">
        <f>Assumptions!E13</f>
        <v>7249</v>
      </c>
      <c r="H3" s="62">
        <f>Assumptions!F13</f>
        <v>7262</v>
      </c>
      <c r="I3" s="62">
        <f>Assumptions!G13</f>
        <v>7403</v>
      </c>
      <c r="J3" s="27">
        <f>Assumptions!H13</f>
        <v>7625</v>
      </c>
      <c r="K3" s="9" t="s">
        <v>191</v>
      </c>
      <c r="L3" s="9" t="s">
        <v>192</v>
      </c>
      <c r="M3" s="9" t="s">
        <v>193</v>
      </c>
      <c r="N3" s="28" t="s">
        <v>194</v>
      </c>
    </row>
    <row r="4" spans="1:14" x14ac:dyDescent="0.2">
      <c r="A4" s="1">
        <v>2</v>
      </c>
      <c r="B4" s="9" t="s">
        <v>190</v>
      </c>
      <c r="C4" s="9" t="s">
        <v>39</v>
      </c>
      <c r="D4" s="9" t="s">
        <v>40</v>
      </c>
      <c r="E4" s="62">
        <f>Assumptions!C14</f>
        <v>34</v>
      </c>
      <c r="F4" s="62">
        <f>Assumptions!D14</f>
        <v>36</v>
      </c>
      <c r="G4" s="62">
        <f>Assumptions!E14</f>
        <v>36</v>
      </c>
      <c r="H4" s="62">
        <f>Assumptions!F14</f>
        <v>36</v>
      </c>
      <c r="I4" s="62">
        <f>Assumptions!G14</f>
        <v>36</v>
      </c>
      <c r="J4" s="27">
        <f>Assumptions!H14</f>
        <v>36</v>
      </c>
      <c r="K4" s="9" t="s">
        <v>195</v>
      </c>
      <c r="L4" s="9" t="s">
        <v>192</v>
      </c>
      <c r="M4" s="9" t="s">
        <v>196</v>
      </c>
      <c r="N4" s="28" t="s">
        <v>197</v>
      </c>
    </row>
    <row r="5" spans="1:14" x14ac:dyDescent="0.2">
      <c r="A5" s="1">
        <v>3</v>
      </c>
      <c r="B5" s="9" t="s">
        <v>190</v>
      </c>
      <c r="C5" s="9" t="s">
        <v>198</v>
      </c>
      <c r="D5" s="9" t="s">
        <v>199</v>
      </c>
      <c r="E5" s="63">
        <f t="shared" ref="E5:J5" si="0">E3*E4</f>
        <v>237728</v>
      </c>
      <c r="F5" s="63">
        <f t="shared" si="0"/>
        <v>250308</v>
      </c>
      <c r="G5" s="63">
        <f t="shared" si="0"/>
        <v>260964</v>
      </c>
      <c r="H5" s="63">
        <f t="shared" si="0"/>
        <v>261432</v>
      </c>
      <c r="I5" s="63">
        <f t="shared" si="0"/>
        <v>266508</v>
      </c>
      <c r="J5" s="23">
        <f t="shared" si="0"/>
        <v>274500</v>
      </c>
      <c r="K5" s="9" t="s">
        <v>200</v>
      </c>
      <c r="L5" s="9" t="s">
        <v>192</v>
      </c>
      <c r="M5" s="9" t="s">
        <v>201</v>
      </c>
      <c r="N5" s="28" t="s">
        <v>202</v>
      </c>
    </row>
    <row r="6" spans="1:14" x14ac:dyDescent="0.2">
      <c r="A6" s="1">
        <v>4</v>
      </c>
      <c r="B6" s="9" t="s">
        <v>190</v>
      </c>
      <c r="C6" s="9" t="s">
        <v>51</v>
      </c>
      <c r="D6" s="9" t="s">
        <v>52</v>
      </c>
      <c r="E6" s="62">
        <f>Assumptions!C17</f>
        <v>23</v>
      </c>
      <c r="F6" s="62">
        <f>Assumptions!D17</f>
        <v>23</v>
      </c>
      <c r="G6" s="62">
        <f>Assumptions!E17</f>
        <v>26</v>
      </c>
      <c r="H6" s="62">
        <f>Assumptions!F17</f>
        <v>25</v>
      </c>
      <c r="I6" s="62">
        <f>Assumptions!G17</f>
        <v>25</v>
      </c>
      <c r="J6" s="27">
        <f>Assumptions!H17</f>
        <v>25</v>
      </c>
      <c r="K6" s="9" t="s">
        <v>195</v>
      </c>
      <c r="L6" s="9" t="s">
        <v>192</v>
      </c>
      <c r="M6" s="9" t="s">
        <v>196</v>
      </c>
      <c r="N6" s="28" t="s">
        <v>203</v>
      </c>
    </row>
    <row r="7" spans="1:14" x14ac:dyDescent="0.2">
      <c r="A7" s="1">
        <v>5</v>
      </c>
      <c r="B7" s="9" t="s">
        <v>190</v>
      </c>
      <c r="C7" s="9" t="s">
        <v>54</v>
      </c>
      <c r="D7" s="9" t="s">
        <v>40</v>
      </c>
      <c r="E7" s="62">
        <f>Assumptions!C18</f>
        <v>11</v>
      </c>
      <c r="F7" s="62">
        <f>Assumptions!D18</f>
        <v>12</v>
      </c>
      <c r="G7" s="62">
        <f>Assumptions!E18</f>
        <v>12</v>
      </c>
      <c r="H7" s="62">
        <f>Assumptions!F18</f>
        <v>9</v>
      </c>
      <c r="I7" s="62">
        <f>Assumptions!G18</f>
        <v>10</v>
      </c>
      <c r="J7" s="27">
        <f>Assumptions!H18</f>
        <v>10</v>
      </c>
      <c r="K7" s="9" t="s">
        <v>195</v>
      </c>
      <c r="L7" s="9" t="s">
        <v>192</v>
      </c>
      <c r="M7" s="9" t="s">
        <v>196</v>
      </c>
      <c r="N7" s="28" t="s">
        <v>203</v>
      </c>
    </row>
    <row r="8" spans="1:14" x14ac:dyDescent="0.2">
      <c r="A8" s="1">
        <v>6</v>
      </c>
      <c r="B8" s="9" t="s">
        <v>190</v>
      </c>
      <c r="C8" s="9" t="s">
        <v>55</v>
      </c>
      <c r="D8" s="9" t="s">
        <v>40</v>
      </c>
      <c r="E8" s="62">
        <f>Assumptions!C19</f>
        <v>11</v>
      </c>
      <c r="F8" s="62">
        <f>Assumptions!D19</f>
        <v>11</v>
      </c>
      <c r="G8" s="62">
        <f>Assumptions!E19</f>
        <v>12</v>
      </c>
      <c r="H8" s="62">
        <f>Assumptions!F19</f>
        <v>14</v>
      </c>
      <c r="I8" s="62">
        <f>Assumptions!G19</f>
        <v>10</v>
      </c>
      <c r="J8" s="27">
        <f>Assumptions!H19</f>
        <v>11</v>
      </c>
      <c r="K8" s="9" t="s">
        <v>191</v>
      </c>
      <c r="L8" s="9" t="s">
        <v>192</v>
      </c>
      <c r="M8" s="9" t="s">
        <v>196</v>
      </c>
      <c r="N8" s="28" t="s">
        <v>204</v>
      </c>
    </row>
    <row r="9" spans="1:14" x14ac:dyDescent="0.2">
      <c r="A9" s="1">
        <v>7</v>
      </c>
      <c r="B9" s="9" t="s">
        <v>190</v>
      </c>
      <c r="C9" s="9" t="s">
        <v>56</v>
      </c>
      <c r="D9" s="9" t="s">
        <v>40</v>
      </c>
      <c r="E9" s="62">
        <f>Assumptions!C20</f>
        <v>1</v>
      </c>
      <c r="F9" s="62">
        <f>Assumptions!D20</f>
        <v>1</v>
      </c>
      <c r="G9" s="62">
        <f>Assumptions!E20</f>
        <v>2</v>
      </c>
      <c r="H9" s="62">
        <f>Assumptions!F20</f>
        <v>2</v>
      </c>
      <c r="I9" s="62">
        <f>Assumptions!G20</f>
        <v>5</v>
      </c>
      <c r="J9" s="27">
        <f>Assumptions!H20</f>
        <v>4</v>
      </c>
      <c r="K9" s="9" t="s">
        <v>191</v>
      </c>
      <c r="L9" s="9" t="s">
        <v>192</v>
      </c>
      <c r="M9" s="9" t="s">
        <v>196</v>
      </c>
      <c r="N9" s="28" t="s">
        <v>204</v>
      </c>
    </row>
    <row r="10" spans="1:14" x14ac:dyDescent="0.2">
      <c r="A10" s="1">
        <v>8</v>
      </c>
      <c r="B10" s="9" t="s">
        <v>190</v>
      </c>
      <c r="C10" s="9" t="s">
        <v>57</v>
      </c>
      <c r="D10" s="9" t="s">
        <v>58</v>
      </c>
      <c r="E10" s="62">
        <f>Assumptions!C21</f>
        <v>24</v>
      </c>
      <c r="F10" s="62">
        <f>Assumptions!D21</f>
        <v>21</v>
      </c>
      <c r="G10" s="62">
        <f>Assumptions!E21</f>
        <v>18</v>
      </c>
      <c r="H10" s="62">
        <f>Assumptions!F21</f>
        <v>20</v>
      </c>
      <c r="I10" s="62">
        <f>Assumptions!G21</f>
        <v>22</v>
      </c>
      <c r="J10" s="27">
        <f>Assumptions!H21</f>
        <v>22</v>
      </c>
      <c r="K10" s="9" t="s">
        <v>195</v>
      </c>
      <c r="L10" s="9" t="s">
        <v>192</v>
      </c>
      <c r="M10" s="9" t="s">
        <v>196</v>
      </c>
      <c r="N10" s="28" t="s">
        <v>203</v>
      </c>
    </row>
    <row r="11" spans="1:14" ht="30" x14ac:dyDescent="0.2">
      <c r="A11" s="1">
        <v>9</v>
      </c>
      <c r="B11" s="9" t="s">
        <v>190</v>
      </c>
      <c r="C11" s="9" t="s">
        <v>205</v>
      </c>
      <c r="D11" s="9" t="s">
        <v>61</v>
      </c>
      <c r="E11" s="62">
        <f>Assumptions!C22</f>
        <v>13</v>
      </c>
      <c r="F11" s="62">
        <f>Assumptions!D22</f>
        <v>15</v>
      </c>
      <c r="G11" s="62">
        <f>Assumptions!E22</f>
        <v>16</v>
      </c>
      <c r="H11" s="62">
        <f>Assumptions!F22</f>
        <v>23</v>
      </c>
      <c r="I11" s="62">
        <f>Assumptions!G22</f>
        <v>28</v>
      </c>
      <c r="J11" s="27">
        <f>Assumptions!H22</f>
        <v>30</v>
      </c>
      <c r="K11" s="9" t="s">
        <v>191</v>
      </c>
      <c r="L11" s="9" t="s">
        <v>192</v>
      </c>
      <c r="M11" s="9" t="s">
        <v>206</v>
      </c>
      <c r="N11" s="28" t="s">
        <v>207</v>
      </c>
    </row>
    <row r="12" spans="1:14" ht="30" x14ac:dyDescent="0.2">
      <c r="A12" s="1">
        <v>10</v>
      </c>
      <c r="B12" s="9" t="s">
        <v>190</v>
      </c>
      <c r="C12" s="9" t="s">
        <v>208</v>
      </c>
      <c r="D12" s="9" t="s">
        <v>64</v>
      </c>
      <c r="E12" s="62">
        <f>Assumptions!C23</f>
        <v>7</v>
      </c>
      <c r="F12" s="62">
        <f>Assumptions!D23</f>
        <v>6</v>
      </c>
      <c r="G12" s="62">
        <f>Assumptions!E23</f>
        <v>10</v>
      </c>
      <c r="H12" s="62">
        <f>Assumptions!F23</f>
        <v>11</v>
      </c>
      <c r="I12" s="62">
        <f>Assumptions!G23</f>
        <v>5</v>
      </c>
      <c r="J12" s="27">
        <f>Assumptions!H23</f>
        <v>6</v>
      </c>
      <c r="K12" s="9" t="s">
        <v>191</v>
      </c>
      <c r="L12" s="9" t="s">
        <v>209</v>
      </c>
      <c r="M12" s="9" t="s">
        <v>206</v>
      </c>
      <c r="N12" s="28" t="s">
        <v>210</v>
      </c>
    </row>
    <row r="13" spans="1:14" x14ac:dyDescent="0.2">
      <c r="A13" s="1">
        <v>11</v>
      </c>
      <c r="B13" s="9" t="s">
        <v>190</v>
      </c>
      <c r="C13" s="9" t="s">
        <v>65</v>
      </c>
      <c r="D13" s="9" t="s">
        <v>66</v>
      </c>
      <c r="E13" s="62">
        <f>Assumptions!C24</f>
        <v>6</v>
      </c>
      <c r="F13" s="62">
        <f>Assumptions!D24</f>
        <v>6</v>
      </c>
      <c r="G13" s="62">
        <f>Assumptions!E24</f>
        <v>7</v>
      </c>
      <c r="H13" s="62">
        <f>Assumptions!F24</f>
        <v>7</v>
      </c>
      <c r="I13" s="62">
        <f>Assumptions!G24</f>
        <v>7</v>
      </c>
      <c r="J13" s="27">
        <f>Assumptions!H24</f>
        <v>8</v>
      </c>
      <c r="K13" s="9" t="s">
        <v>191</v>
      </c>
      <c r="L13" s="9" t="s">
        <v>209</v>
      </c>
      <c r="M13" s="9" t="s">
        <v>206</v>
      </c>
      <c r="N13" s="28" t="s">
        <v>211</v>
      </c>
    </row>
    <row r="14" spans="1:14" x14ac:dyDescent="0.2">
      <c r="A14" s="1">
        <v>12</v>
      </c>
      <c r="B14" s="9" t="s">
        <v>190</v>
      </c>
      <c r="C14" s="9" t="s">
        <v>68</v>
      </c>
      <c r="D14" s="9" t="s">
        <v>92</v>
      </c>
      <c r="E14" s="60">
        <f>Assumptions!C25</f>
        <v>476</v>
      </c>
      <c r="F14" s="60">
        <f>Assumptions!D25</f>
        <v>540</v>
      </c>
      <c r="G14" s="60">
        <f>Assumptions!E25</f>
        <v>540</v>
      </c>
      <c r="H14" s="60">
        <f>Assumptions!F25</f>
        <v>560</v>
      </c>
      <c r="I14" s="60">
        <f>Assumptions!G25</f>
        <v>614</v>
      </c>
      <c r="J14" s="29">
        <f>Assumptions!H25</f>
        <v>632</v>
      </c>
      <c r="K14" s="9" t="s">
        <v>191</v>
      </c>
      <c r="L14" s="9" t="s">
        <v>192</v>
      </c>
      <c r="M14" s="9" t="s">
        <v>212</v>
      </c>
      <c r="N14" s="28" t="s">
        <v>213</v>
      </c>
    </row>
    <row r="15" spans="1:14" x14ac:dyDescent="0.2">
      <c r="A15" s="1">
        <v>13</v>
      </c>
      <c r="B15" s="9" t="s">
        <v>190</v>
      </c>
      <c r="C15" s="9" t="s">
        <v>214</v>
      </c>
      <c r="D15" s="9" t="s">
        <v>92</v>
      </c>
      <c r="E15" s="61">
        <f t="shared" ref="E15:J15" si="1">E14/E4</f>
        <v>14</v>
      </c>
      <c r="F15" s="61">
        <f t="shared" si="1"/>
        <v>15</v>
      </c>
      <c r="G15" s="61">
        <f t="shared" si="1"/>
        <v>15</v>
      </c>
      <c r="H15" s="61">
        <f t="shared" si="1"/>
        <v>15.555555555555555</v>
      </c>
      <c r="I15" s="61">
        <f t="shared" si="1"/>
        <v>17.055555555555557</v>
      </c>
      <c r="J15" s="30">
        <f t="shared" si="1"/>
        <v>17.555555555555557</v>
      </c>
      <c r="K15" s="9" t="s">
        <v>200</v>
      </c>
      <c r="L15" s="9" t="s">
        <v>192</v>
      </c>
      <c r="M15" s="9" t="s">
        <v>215</v>
      </c>
      <c r="N15" s="28" t="s">
        <v>216</v>
      </c>
    </row>
    <row r="16" spans="1:14" x14ac:dyDescent="0.2">
      <c r="A16" s="1">
        <v>14</v>
      </c>
      <c r="B16" s="9" t="s">
        <v>190</v>
      </c>
      <c r="C16" s="9" t="s">
        <v>71</v>
      </c>
      <c r="D16" s="9" t="s">
        <v>92</v>
      </c>
      <c r="E16" s="60">
        <f>Assumptions!C26</f>
        <v>19</v>
      </c>
      <c r="F16" s="60">
        <f>Assumptions!D26</f>
        <v>21</v>
      </c>
      <c r="G16" s="60">
        <f>Assumptions!E26</f>
        <v>20</v>
      </c>
      <c r="H16" s="60">
        <f>Assumptions!F26</f>
        <v>22</v>
      </c>
      <c r="I16" s="60">
        <f>Assumptions!G26</f>
        <v>23</v>
      </c>
      <c r="J16" s="29">
        <f>Assumptions!H26</f>
        <v>24</v>
      </c>
      <c r="K16" s="9" t="s">
        <v>217</v>
      </c>
      <c r="L16" s="9" t="s">
        <v>209</v>
      </c>
      <c r="M16" s="9" t="s">
        <v>212</v>
      </c>
      <c r="N16" s="28" t="s">
        <v>218</v>
      </c>
    </row>
    <row r="17" spans="1:14" ht="30" x14ac:dyDescent="0.2">
      <c r="A17" s="1">
        <v>15</v>
      </c>
      <c r="B17" s="9" t="s">
        <v>190</v>
      </c>
      <c r="C17" s="9" t="s">
        <v>74</v>
      </c>
      <c r="D17" s="9" t="s">
        <v>92</v>
      </c>
      <c r="E17" s="60">
        <f>Assumptions!C27</f>
        <v>0</v>
      </c>
      <c r="F17" s="60">
        <f>Assumptions!D27</f>
        <v>0</v>
      </c>
      <c r="G17" s="60">
        <f>Assumptions!E27</f>
        <v>0</v>
      </c>
      <c r="H17" s="60">
        <f>Assumptions!F27</f>
        <v>27.5</v>
      </c>
      <c r="I17" s="60">
        <f>Assumptions!G27</f>
        <v>28.75</v>
      </c>
      <c r="J17" s="29">
        <f>Assumptions!H27</f>
        <v>29.75</v>
      </c>
      <c r="K17" s="9" t="s">
        <v>219</v>
      </c>
      <c r="L17" s="9" t="s">
        <v>209</v>
      </c>
      <c r="M17" s="9" t="s">
        <v>220</v>
      </c>
      <c r="N17" s="28" t="s">
        <v>221</v>
      </c>
    </row>
    <row r="18" spans="1:14" x14ac:dyDescent="0.2">
      <c r="A18" s="1">
        <v>16</v>
      </c>
      <c r="B18" s="9" t="s">
        <v>190</v>
      </c>
      <c r="C18" s="9" t="s">
        <v>77</v>
      </c>
      <c r="D18" s="9" t="s">
        <v>92</v>
      </c>
      <c r="E18" s="60">
        <f>Assumptions!C28</f>
        <v>0</v>
      </c>
      <c r="F18" s="60">
        <f>Assumptions!D28</f>
        <v>0</v>
      </c>
      <c r="G18" s="60">
        <f>Assumptions!E28</f>
        <v>0</v>
      </c>
      <c r="H18" s="60">
        <f>Assumptions!F28</f>
        <v>0</v>
      </c>
      <c r="I18" s="60">
        <f>Assumptions!G28</f>
        <v>17</v>
      </c>
      <c r="J18" s="29">
        <f>Assumptions!H28</f>
        <v>17.5</v>
      </c>
      <c r="K18" s="9" t="s">
        <v>191</v>
      </c>
      <c r="L18" s="9" t="s">
        <v>209</v>
      </c>
      <c r="M18" s="9" t="s">
        <v>222</v>
      </c>
      <c r="N18" s="28" t="s">
        <v>223</v>
      </c>
    </row>
    <row r="19" spans="1:14" x14ac:dyDescent="0.2">
      <c r="A19" s="1">
        <v>17</v>
      </c>
      <c r="B19" s="9" t="s">
        <v>190</v>
      </c>
      <c r="C19" s="9" t="s">
        <v>79</v>
      </c>
      <c r="D19" s="9" t="s">
        <v>92</v>
      </c>
      <c r="E19" s="29">
        <f>Assumptions!C29</f>
        <v>0</v>
      </c>
      <c r="F19" s="29">
        <f>Assumptions!D29</f>
        <v>0</v>
      </c>
      <c r="G19" s="29">
        <f>Assumptions!E29</f>
        <v>0</v>
      </c>
      <c r="H19" s="29">
        <f>Assumptions!F29</f>
        <v>0</v>
      </c>
      <c r="I19" s="29">
        <f>Assumptions!G29</f>
        <v>130</v>
      </c>
      <c r="J19" s="29">
        <f>Assumptions!H29</f>
        <v>135</v>
      </c>
      <c r="K19" s="9" t="s">
        <v>191</v>
      </c>
      <c r="L19" s="9" t="s">
        <v>209</v>
      </c>
      <c r="M19" s="9" t="s">
        <v>224</v>
      </c>
      <c r="N19" s="28" t="s">
        <v>225</v>
      </c>
    </row>
    <row r="20" spans="1:14" x14ac:dyDescent="0.2">
      <c r="A20" s="1">
        <v>18</v>
      </c>
      <c r="B20" s="9" t="s">
        <v>190</v>
      </c>
      <c r="C20" s="9" t="s">
        <v>82</v>
      </c>
      <c r="D20" s="9" t="s">
        <v>83</v>
      </c>
      <c r="E20" s="27">
        <f>Assumptions!C30</f>
        <v>10</v>
      </c>
      <c r="F20" s="27">
        <f>Assumptions!D30</f>
        <v>10</v>
      </c>
      <c r="G20" s="27">
        <f>Assumptions!E30</f>
        <v>10</v>
      </c>
      <c r="H20" s="27">
        <f>Assumptions!F30</f>
        <v>10</v>
      </c>
      <c r="I20" s="27">
        <f>Assumptions!G30</f>
        <v>10</v>
      </c>
      <c r="J20" s="27">
        <f>Assumptions!H30</f>
        <v>10</v>
      </c>
      <c r="K20" s="9" t="s">
        <v>226</v>
      </c>
      <c r="L20" s="9" t="s">
        <v>209</v>
      </c>
      <c r="M20" s="9" t="s">
        <v>227</v>
      </c>
      <c r="N20" s="28" t="s">
        <v>228</v>
      </c>
    </row>
    <row r="21" spans="1:14" x14ac:dyDescent="0.2">
      <c r="A21" s="1">
        <v>19</v>
      </c>
      <c r="B21" s="9" t="s">
        <v>190</v>
      </c>
      <c r="C21" s="9" t="s">
        <v>86</v>
      </c>
      <c r="D21" s="9" t="s">
        <v>24</v>
      </c>
      <c r="E21" s="31">
        <f>Assumptions!C31</f>
        <v>0.15</v>
      </c>
      <c r="F21" s="31">
        <f>Assumptions!D31</f>
        <v>0.15</v>
      </c>
      <c r="G21" s="31">
        <f>Assumptions!E31</f>
        <v>0.2</v>
      </c>
      <c r="H21" s="31">
        <f>Assumptions!F31</f>
        <v>0.3</v>
      </c>
      <c r="I21" s="31">
        <f>Assumptions!G31</f>
        <v>0.3</v>
      </c>
      <c r="J21" s="31">
        <f>Assumptions!H31</f>
        <v>0.3</v>
      </c>
      <c r="K21" s="9" t="s">
        <v>219</v>
      </c>
      <c r="L21" s="9" t="s">
        <v>229</v>
      </c>
      <c r="M21" s="9" t="s">
        <v>230</v>
      </c>
      <c r="N21" s="28" t="s">
        <v>231</v>
      </c>
    </row>
    <row r="22" spans="1:14" x14ac:dyDescent="0.2">
      <c r="A22" s="1">
        <v>20</v>
      </c>
      <c r="B22" s="9" t="s">
        <v>190</v>
      </c>
      <c r="C22" s="9" t="s">
        <v>88</v>
      </c>
      <c r="D22" s="9" t="s">
        <v>92</v>
      </c>
      <c r="E22" s="29">
        <f>Assumptions!C32</f>
        <v>22</v>
      </c>
      <c r="F22" s="29">
        <f>Assumptions!D32</f>
        <v>22.4</v>
      </c>
      <c r="G22" s="29">
        <f>Assumptions!E32</f>
        <v>23.4</v>
      </c>
      <c r="H22" s="29">
        <f>Assumptions!F32</f>
        <v>24.4</v>
      </c>
      <c r="I22" s="29">
        <f>Assumptions!G32</f>
        <v>25.4</v>
      </c>
      <c r="J22" s="29">
        <f>Assumptions!H32</f>
        <v>26.21</v>
      </c>
      <c r="K22" s="9" t="s">
        <v>219</v>
      </c>
      <c r="L22" s="9" t="s">
        <v>209</v>
      </c>
      <c r="M22" s="9" t="s">
        <v>89</v>
      </c>
      <c r="N22" s="28" t="s">
        <v>232</v>
      </c>
    </row>
    <row r="23" spans="1:14" ht="30" x14ac:dyDescent="0.2">
      <c r="A23" s="1">
        <v>21</v>
      </c>
      <c r="B23" s="9" t="s">
        <v>190</v>
      </c>
      <c r="C23" s="9" t="s">
        <v>90</v>
      </c>
      <c r="D23" s="9" t="s">
        <v>24</v>
      </c>
      <c r="E23" s="31">
        <f>Assumptions!C33</f>
        <v>0.16</v>
      </c>
      <c r="F23" s="31">
        <f>Assumptions!D33</f>
        <v>0.17</v>
      </c>
      <c r="G23" s="31">
        <f>Assumptions!E33</f>
        <v>0.18</v>
      </c>
      <c r="H23" s="31">
        <f>Assumptions!F33</f>
        <v>0.19</v>
      </c>
      <c r="I23" s="31">
        <f>Assumptions!G33</f>
        <v>0.2</v>
      </c>
      <c r="J23" s="31">
        <f>Assumptions!H33</f>
        <v>0.21</v>
      </c>
      <c r="K23" s="9" t="s">
        <v>219</v>
      </c>
      <c r="L23" s="9" t="s">
        <v>229</v>
      </c>
      <c r="M23" s="9" t="s">
        <v>89</v>
      </c>
      <c r="N23" s="28" t="s">
        <v>233</v>
      </c>
    </row>
    <row r="24" spans="1:14" ht="30" x14ac:dyDescent="0.2">
      <c r="A24" s="1">
        <v>22</v>
      </c>
      <c r="B24" s="9" t="s">
        <v>190</v>
      </c>
      <c r="C24" s="9" t="s">
        <v>234</v>
      </c>
      <c r="D24" s="9" t="s">
        <v>92</v>
      </c>
      <c r="E24" s="29">
        <f>Assumptions!C34</f>
        <v>380000</v>
      </c>
      <c r="F24" s="29">
        <f>Assumptions!D34</f>
        <v>400000</v>
      </c>
      <c r="G24" s="29">
        <f>Assumptions!E34</f>
        <v>460000</v>
      </c>
      <c r="H24" s="29">
        <f>Assumptions!F34</f>
        <v>520000</v>
      </c>
      <c r="I24" s="29">
        <f>Assumptions!G34</f>
        <v>600000</v>
      </c>
      <c r="J24" s="29">
        <f>Assumptions!H34</f>
        <v>660000</v>
      </c>
      <c r="K24" s="9" t="s">
        <v>219</v>
      </c>
      <c r="L24" s="9" t="s">
        <v>229</v>
      </c>
      <c r="M24" s="9" t="s">
        <v>89</v>
      </c>
      <c r="N24" s="28" t="s">
        <v>235</v>
      </c>
    </row>
    <row r="25" spans="1:14" x14ac:dyDescent="0.2">
      <c r="A25" s="1">
        <v>23</v>
      </c>
      <c r="B25" s="9" t="s">
        <v>190</v>
      </c>
      <c r="C25" s="9" t="s">
        <v>236</v>
      </c>
      <c r="D25" s="9" t="s">
        <v>94</v>
      </c>
      <c r="E25" s="27">
        <f>Assumptions!C35</f>
        <v>2300</v>
      </c>
      <c r="F25" s="27">
        <f>Assumptions!D35</f>
        <v>2350</v>
      </c>
      <c r="G25" s="27">
        <f>Assumptions!E35</f>
        <v>2450</v>
      </c>
      <c r="H25" s="27">
        <f>Assumptions!F35</f>
        <v>2550</v>
      </c>
      <c r="I25" s="27">
        <f>Assumptions!G35</f>
        <v>2700</v>
      </c>
      <c r="J25" s="27">
        <f>Assumptions!H35</f>
        <v>2780</v>
      </c>
      <c r="K25" s="9" t="s">
        <v>219</v>
      </c>
      <c r="L25" s="9" t="s">
        <v>229</v>
      </c>
      <c r="M25" s="9" t="s">
        <v>89</v>
      </c>
      <c r="N25" s="28" t="s">
        <v>237</v>
      </c>
    </row>
    <row r="26" spans="1:14" x14ac:dyDescent="0.2">
      <c r="A26" s="1">
        <v>24</v>
      </c>
      <c r="B26" s="9" t="s">
        <v>190</v>
      </c>
      <c r="C26" s="9" t="s">
        <v>95</v>
      </c>
      <c r="D26" s="9" t="s">
        <v>24</v>
      </c>
      <c r="E26" s="31">
        <f>Assumptions!C36</f>
        <v>0.77</v>
      </c>
      <c r="F26" s="31">
        <f>Assumptions!D36</f>
        <v>0.76</v>
      </c>
      <c r="G26" s="31">
        <f>Assumptions!E36</f>
        <v>0.78</v>
      </c>
      <c r="H26" s="31">
        <f>Assumptions!F36</f>
        <v>0.8</v>
      </c>
      <c r="I26" s="31">
        <f>Assumptions!G36</f>
        <v>0.82</v>
      </c>
      <c r="J26" s="31">
        <f>Assumptions!H36</f>
        <v>0.83</v>
      </c>
      <c r="K26" s="9" t="s">
        <v>219</v>
      </c>
      <c r="L26" s="9" t="s">
        <v>229</v>
      </c>
      <c r="M26" s="9" t="s">
        <v>89</v>
      </c>
      <c r="N26" s="28" t="s">
        <v>238</v>
      </c>
    </row>
    <row r="27" spans="1:14" x14ac:dyDescent="0.2">
      <c r="A27" s="56" t="s">
        <v>239</v>
      </c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</row>
    <row r="28" spans="1:14" ht="30" x14ac:dyDescent="0.2">
      <c r="A28" s="32">
        <v>25</v>
      </c>
      <c r="B28" s="33" t="s">
        <v>240</v>
      </c>
      <c r="C28" s="34" t="s">
        <v>241</v>
      </c>
      <c r="D28" s="33" t="s">
        <v>92</v>
      </c>
      <c r="E28" s="35">
        <f t="shared" ref="E28:J28" si="2">E5*E22</f>
        <v>5230016</v>
      </c>
      <c r="F28" s="35">
        <f t="shared" si="2"/>
        <v>5606899.1999999993</v>
      </c>
      <c r="G28" s="35">
        <f t="shared" si="2"/>
        <v>6106557.5999999996</v>
      </c>
      <c r="H28" s="35">
        <f t="shared" si="2"/>
        <v>6378940.7999999998</v>
      </c>
      <c r="I28" s="35">
        <f t="shared" si="2"/>
        <v>6769303.1999999993</v>
      </c>
      <c r="J28" s="35">
        <f t="shared" si="2"/>
        <v>7194645</v>
      </c>
      <c r="K28" s="33" t="s">
        <v>200</v>
      </c>
      <c r="L28" s="33" t="s">
        <v>209</v>
      </c>
      <c r="M28" s="33" t="s">
        <v>242</v>
      </c>
      <c r="N28" s="36" t="s">
        <v>243</v>
      </c>
    </row>
    <row r="29" spans="1:14" ht="30" x14ac:dyDescent="0.2">
      <c r="A29" s="1">
        <v>26</v>
      </c>
      <c r="B29" s="9" t="s">
        <v>240</v>
      </c>
      <c r="C29" s="9" t="s">
        <v>136</v>
      </c>
      <c r="D29" s="9" t="s">
        <v>92</v>
      </c>
      <c r="E29" s="29">
        <f>Assumptions!C57</f>
        <v>0</v>
      </c>
      <c r="F29" s="29">
        <f>Assumptions!D57</f>
        <v>0</v>
      </c>
      <c r="G29" s="29">
        <f>Assumptions!E57</f>
        <v>2.5</v>
      </c>
      <c r="H29" s="29">
        <f>Assumptions!F57</f>
        <v>3</v>
      </c>
      <c r="I29" s="29">
        <f>Assumptions!G57</f>
        <v>3</v>
      </c>
      <c r="J29" s="29">
        <f>Assumptions!H57</f>
        <v>3</v>
      </c>
      <c r="K29" s="9" t="s">
        <v>100</v>
      </c>
      <c r="L29" s="9" t="s">
        <v>229</v>
      </c>
      <c r="M29" s="9" t="s">
        <v>137</v>
      </c>
      <c r="N29" s="28" t="s">
        <v>244</v>
      </c>
    </row>
    <row r="30" spans="1:14" x14ac:dyDescent="0.2">
      <c r="A30" s="1">
        <v>27</v>
      </c>
      <c r="B30" s="9" t="s">
        <v>240</v>
      </c>
      <c r="C30" s="9" t="s">
        <v>245</v>
      </c>
      <c r="D30" s="9" t="s">
        <v>92</v>
      </c>
      <c r="E30" s="30">
        <f t="shared" ref="E30:J30" si="3">IFERROR(E5*E29,"")</f>
        <v>0</v>
      </c>
      <c r="F30" s="30">
        <f t="shared" si="3"/>
        <v>0</v>
      </c>
      <c r="G30" s="30">
        <f t="shared" si="3"/>
        <v>652410</v>
      </c>
      <c r="H30" s="30">
        <f t="shared" si="3"/>
        <v>784296</v>
      </c>
      <c r="I30" s="30">
        <f t="shared" si="3"/>
        <v>799524</v>
      </c>
      <c r="J30" s="30">
        <f t="shared" si="3"/>
        <v>823500</v>
      </c>
      <c r="K30" s="9" t="s">
        <v>200</v>
      </c>
      <c r="L30" s="9" t="s">
        <v>229</v>
      </c>
      <c r="M30" s="9" t="s">
        <v>246</v>
      </c>
      <c r="N30" s="28" t="s">
        <v>247</v>
      </c>
    </row>
    <row r="31" spans="1:14" x14ac:dyDescent="0.2">
      <c r="A31" s="1">
        <v>28</v>
      </c>
      <c r="B31" s="9" t="s">
        <v>240</v>
      </c>
      <c r="C31" s="9" t="s">
        <v>248</v>
      </c>
      <c r="D31" s="9" t="s">
        <v>92</v>
      </c>
      <c r="E31" s="30">
        <f t="shared" ref="E31:J31" si="4">IFERROR(E28/(E53*E4),"")</f>
        <v>11.905882352941177</v>
      </c>
      <c r="F31" s="30">
        <f t="shared" si="4"/>
        <v>12.054736842105262</v>
      </c>
      <c r="G31" s="30">
        <f t="shared" si="4"/>
        <v>13.128993808049534</v>
      </c>
      <c r="H31" s="30">
        <f t="shared" si="4"/>
        <v>13.714613003095975</v>
      </c>
      <c r="I31" s="30">
        <f t="shared" si="4"/>
        <v>14.553885448916407</v>
      </c>
      <c r="J31" s="30">
        <f t="shared" si="4"/>
        <v>15.468363003095975</v>
      </c>
      <c r="K31" s="9" t="s">
        <v>200</v>
      </c>
      <c r="L31" s="9" t="s">
        <v>209</v>
      </c>
      <c r="M31" s="9" t="s">
        <v>249</v>
      </c>
      <c r="N31" s="28" t="s">
        <v>250</v>
      </c>
    </row>
    <row r="32" spans="1:14" x14ac:dyDescent="0.2">
      <c r="A32" s="1">
        <v>29</v>
      </c>
      <c r="B32" s="9" t="s">
        <v>240</v>
      </c>
      <c r="C32" s="9" t="s">
        <v>97</v>
      </c>
      <c r="D32" s="9" t="s">
        <v>92</v>
      </c>
      <c r="E32" s="29">
        <f>Assumptions!C37</f>
        <v>13</v>
      </c>
      <c r="F32" s="29">
        <f>Assumptions!D37</f>
        <v>13.4</v>
      </c>
      <c r="G32" s="29">
        <f>Assumptions!E37</f>
        <v>14</v>
      </c>
      <c r="H32" s="29">
        <f>Assumptions!F37</f>
        <v>14.8</v>
      </c>
      <c r="I32" s="29">
        <f>Assumptions!G37</f>
        <v>15.5</v>
      </c>
      <c r="J32" s="29">
        <f>Assumptions!H37</f>
        <v>16</v>
      </c>
      <c r="K32" s="9" t="s">
        <v>219</v>
      </c>
      <c r="L32" s="9" t="s">
        <v>229</v>
      </c>
      <c r="M32" s="9" t="s">
        <v>89</v>
      </c>
      <c r="N32" s="28" t="s">
        <v>251</v>
      </c>
    </row>
    <row r="33" spans="1:14" x14ac:dyDescent="0.2">
      <c r="A33" s="1">
        <v>30</v>
      </c>
      <c r="B33" s="9" t="s">
        <v>240</v>
      </c>
      <c r="C33" s="9" t="s">
        <v>99</v>
      </c>
      <c r="D33" s="9" t="s">
        <v>24</v>
      </c>
      <c r="E33" s="31">
        <f>Assumptions!C38</f>
        <v>0.04</v>
      </c>
      <c r="F33" s="31">
        <f>Assumptions!D38</f>
        <v>0.04</v>
      </c>
      <c r="G33" s="31">
        <f>Assumptions!E38</f>
        <v>0.04</v>
      </c>
      <c r="H33" s="31">
        <f>Assumptions!F38</f>
        <v>0.04</v>
      </c>
      <c r="I33" s="31">
        <f>Assumptions!G38</f>
        <v>0.04</v>
      </c>
      <c r="J33" s="31">
        <f>Assumptions!H38</f>
        <v>0.04</v>
      </c>
      <c r="K33" s="9" t="s">
        <v>100</v>
      </c>
      <c r="L33" s="9" t="s">
        <v>229</v>
      </c>
      <c r="M33" s="9" t="s">
        <v>89</v>
      </c>
      <c r="N33" s="28" t="s">
        <v>252</v>
      </c>
    </row>
    <row r="34" spans="1:14" x14ac:dyDescent="0.2">
      <c r="A34" s="1">
        <v>31</v>
      </c>
      <c r="B34" s="9" t="s">
        <v>240</v>
      </c>
      <c r="C34" s="9" t="s">
        <v>253</v>
      </c>
      <c r="D34" s="9" t="s">
        <v>92</v>
      </c>
      <c r="E34" s="30">
        <f t="shared" ref="E34:J34" si="5">E5*E32*E33</f>
        <v>123618.56</v>
      </c>
      <c r="F34" s="30">
        <f t="shared" si="5"/>
        <v>134165.08800000002</v>
      </c>
      <c r="G34" s="30">
        <f t="shared" si="5"/>
        <v>146139.84</v>
      </c>
      <c r="H34" s="30">
        <f t="shared" si="5"/>
        <v>154767.74400000001</v>
      </c>
      <c r="I34" s="30">
        <f t="shared" si="5"/>
        <v>165234.96</v>
      </c>
      <c r="J34" s="30">
        <f t="shared" si="5"/>
        <v>175680</v>
      </c>
      <c r="K34" s="9" t="s">
        <v>200</v>
      </c>
      <c r="L34" s="9" t="s">
        <v>229</v>
      </c>
      <c r="M34" s="9" t="s">
        <v>254</v>
      </c>
      <c r="N34" s="28" t="s">
        <v>255</v>
      </c>
    </row>
    <row r="35" spans="1:14" x14ac:dyDescent="0.2">
      <c r="A35" s="1">
        <v>32</v>
      </c>
      <c r="B35" s="9" t="s">
        <v>240</v>
      </c>
      <c r="C35" s="9" t="s">
        <v>101</v>
      </c>
      <c r="D35" s="9" t="s">
        <v>92</v>
      </c>
      <c r="E35" s="29">
        <f>Assumptions!C39</f>
        <v>3.6</v>
      </c>
      <c r="F35" s="29">
        <f>Assumptions!D39</f>
        <v>3.8</v>
      </c>
      <c r="G35" s="29">
        <f>Assumptions!E39</f>
        <v>4</v>
      </c>
      <c r="H35" s="29">
        <f>Assumptions!F39</f>
        <v>4.2</v>
      </c>
      <c r="I35" s="29">
        <f>Assumptions!G39</f>
        <v>4.5</v>
      </c>
      <c r="J35" s="29">
        <f>Assumptions!H39</f>
        <v>4.7</v>
      </c>
      <c r="K35" s="9" t="s">
        <v>219</v>
      </c>
      <c r="L35" s="9" t="s">
        <v>229</v>
      </c>
      <c r="M35" s="9" t="s">
        <v>89</v>
      </c>
      <c r="N35" s="28" t="s">
        <v>256</v>
      </c>
    </row>
    <row r="36" spans="1:14" x14ac:dyDescent="0.2">
      <c r="A36" s="1">
        <v>33</v>
      </c>
      <c r="B36" s="9" t="s">
        <v>240</v>
      </c>
      <c r="C36" s="9" t="s">
        <v>257</v>
      </c>
      <c r="D36" s="9" t="s">
        <v>92</v>
      </c>
      <c r="E36" s="30">
        <f t="shared" ref="E36:J36" si="6">E5*E35</f>
        <v>855820.80000000005</v>
      </c>
      <c r="F36" s="30">
        <f t="shared" si="6"/>
        <v>951170.39999999991</v>
      </c>
      <c r="G36" s="30">
        <f t="shared" si="6"/>
        <v>1043856</v>
      </c>
      <c r="H36" s="30">
        <f t="shared" si="6"/>
        <v>1098014.4000000001</v>
      </c>
      <c r="I36" s="30">
        <f t="shared" si="6"/>
        <v>1199286</v>
      </c>
      <c r="J36" s="30">
        <f t="shared" si="6"/>
        <v>1290150</v>
      </c>
      <c r="K36" s="9" t="s">
        <v>200</v>
      </c>
      <c r="L36" s="9" t="s">
        <v>229</v>
      </c>
      <c r="M36" s="9" t="s">
        <v>258</v>
      </c>
      <c r="N36" s="28" t="s">
        <v>259</v>
      </c>
    </row>
    <row r="37" spans="1:14" ht="30" x14ac:dyDescent="0.2">
      <c r="A37" s="1">
        <v>34</v>
      </c>
      <c r="B37" s="9" t="s">
        <v>240</v>
      </c>
      <c r="C37" s="9" t="s">
        <v>102</v>
      </c>
      <c r="D37" s="9" t="s">
        <v>92</v>
      </c>
      <c r="E37" s="29">
        <f>Assumptions!C40</f>
        <v>15</v>
      </c>
      <c r="F37" s="29">
        <f>Assumptions!D40</f>
        <v>15</v>
      </c>
      <c r="G37" s="29">
        <f>Assumptions!E40</f>
        <v>15</v>
      </c>
      <c r="H37" s="29">
        <f>Assumptions!F40</f>
        <v>18</v>
      </c>
      <c r="I37" s="29">
        <f>Assumptions!G40</f>
        <v>20</v>
      </c>
      <c r="J37" s="29">
        <f>Assumptions!H40</f>
        <v>21</v>
      </c>
      <c r="K37" s="9" t="s">
        <v>219</v>
      </c>
      <c r="L37" s="9" t="s">
        <v>229</v>
      </c>
      <c r="M37" s="9" t="s">
        <v>260</v>
      </c>
      <c r="N37" s="28" t="s">
        <v>261</v>
      </c>
    </row>
    <row r="38" spans="1:14" x14ac:dyDescent="0.2">
      <c r="A38" s="1">
        <v>35</v>
      </c>
      <c r="B38" s="9" t="s">
        <v>240</v>
      </c>
      <c r="C38" s="9" t="s">
        <v>105</v>
      </c>
      <c r="D38" s="9" t="s">
        <v>262</v>
      </c>
      <c r="E38" s="37">
        <f>Assumptions!C41</f>
        <v>2.6</v>
      </c>
      <c r="F38" s="37">
        <f>Assumptions!D41</f>
        <v>2.6</v>
      </c>
      <c r="G38" s="37">
        <f>Assumptions!E41</f>
        <v>2.6</v>
      </c>
      <c r="H38" s="37">
        <f>Assumptions!F41</f>
        <v>2.5</v>
      </c>
      <c r="I38" s="37">
        <f>Assumptions!G41</f>
        <v>2.5</v>
      </c>
      <c r="J38" s="37">
        <f>Assumptions!H41</f>
        <v>2.5</v>
      </c>
      <c r="K38" s="9" t="s">
        <v>100</v>
      </c>
      <c r="L38" s="9" t="s">
        <v>229</v>
      </c>
      <c r="M38" s="9" t="s">
        <v>89</v>
      </c>
      <c r="N38" s="28" t="s">
        <v>263</v>
      </c>
    </row>
    <row r="39" spans="1:14" x14ac:dyDescent="0.2">
      <c r="A39" s="1">
        <v>36</v>
      </c>
      <c r="B39" s="9" t="s">
        <v>240</v>
      </c>
      <c r="C39" s="9" t="s">
        <v>107</v>
      </c>
      <c r="D39" s="9" t="s">
        <v>24</v>
      </c>
      <c r="E39" s="31">
        <f>Assumptions!C42</f>
        <v>0.05</v>
      </c>
      <c r="F39" s="31">
        <f>Assumptions!D42</f>
        <v>0.05</v>
      </c>
      <c r="G39" s="31">
        <f>Assumptions!E42</f>
        <v>0.05</v>
      </c>
      <c r="H39" s="31">
        <f>Assumptions!F42</f>
        <v>0.05</v>
      </c>
      <c r="I39" s="31">
        <f>Assumptions!G42</f>
        <v>0.05</v>
      </c>
      <c r="J39" s="31">
        <f>Assumptions!H42</f>
        <v>0.05</v>
      </c>
      <c r="K39" s="9" t="s">
        <v>100</v>
      </c>
      <c r="L39" s="9" t="s">
        <v>229</v>
      </c>
      <c r="M39" s="9" t="s">
        <v>89</v>
      </c>
      <c r="N39" s="28" t="s">
        <v>264</v>
      </c>
    </row>
    <row r="40" spans="1:14" x14ac:dyDescent="0.2">
      <c r="A40" s="1">
        <v>37</v>
      </c>
      <c r="B40" s="9" t="s">
        <v>240</v>
      </c>
      <c r="C40" s="9" t="s">
        <v>265</v>
      </c>
      <c r="D40" s="9" t="s">
        <v>92</v>
      </c>
      <c r="E40" s="30">
        <f t="shared" ref="E40:J40" si="7">IFERROR((E5/E38)*E37*E39,"")</f>
        <v>68575.38461538461</v>
      </c>
      <c r="F40" s="30">
        <f t="shared" si="7"/>
        <v>72204.230769230766</v>
      </c>
      <c r="G40" s="30">
        <f t="shared" si="7"/>
        <v>75278.076923076922</v>
      </c>
      <c r="H40" s="30">
        <f t="shared" si="7"/>
        <v>94115.520000000019</v>
      </c>
      <c r="I40" s="30">
        <f t="shared" si="7"/>
        <v>106603.20000000001</v>
      </c>
      <c r="J40" s="30">
        <f t="shared" si="7"/>
        <v>115290</v>
      </c>
      <c r="K40" s="9" t="s">
        <v>200</v>
      </c>
      <c r="L40" s="9" t="s">
        <v>229</v>
      </c>
      <c r="M40" s="9" t="s">
        <v>266</v>
      </c>
      <c r="N40" s="28" t="s">
        <v>267</v>
      </c>
    </row>
    <row r="41" spans="1:14" x14ac:dyDescent="0.2">
      <c r="A41" s="1">
        <v>38</v>
      </c>
      <c r="B41" s="9" t="s">
        <v>240</v>
      </c>
      <c r="C41" s="9" t="s">
        <v>268</v>
      </c>
      <c r="D41" s="9" t="s">
        <v>92</v>
      </c>
      <c r="E41" s="30">
        <f t="shared" ref="E41:J41" si="8">E32+E35</f>
        <v>16.600000000000001</v>
      </c>
      <c r="F41" s="30">
        <f t="shared" si="8"/>
        <v>17.2</v>
      </c>
      <c r="G41" s="30">
        <f t="shared" si="8"/>
        <v>18</v>
      </c>
      <c r="H41" s="30">
        <f t="shared" si="8"/>
        <v>19</v>
      </c>
      <c r="I41" s="30">
        <f t="shared" si="8"/>
        <v>20</v>
      </c>
      <c r="J41" s="30">
        <f t="shared" si="8"/>
        <v>20.7</v>
      </c>
      <c r="K41" s="9" t="s">
        <v>200</v>
      </c>
      <c r="L41" s="9" t="s">
        <v>229</v>
      </c>
      <c r="M41" s="9" t="s">
        <v>269</v>
      </c>
      <c r="N41" s="28" t="s">
        <v>270</v>
      </c>
    </row>
    <row r="42" spans="1:14" x14ac:dyDescent="0.2">
      <c r="A42" s="1">
        <v>39</v>
      </c>
      <c r="B42" s="9" t="s">
        <v>240</v>
      </c>
      <c r="C42" s="9" t="s">
        <v>109</v>
      </c>
      <c r="D42" s="9" t="s">
        <v>92</v>
      </c>
      <c r="E42" s="29">
        <f>Assumptions!C43</f>
        <v>1950000</v>
      </c>
      <c r="F42" s="29">
        <f>Assumptions!D43</f>
        <v>2000000</v>
      </c>
      <c r="G42" s="29">
        <f>Assumptions!E43</f>
        <v>2200000</v>
      </c>
      <c r="H42" s="29">
        <f>Assumptions!F43</f>
        <v>2450000</v>
      </c>
      <c r="I42" s="29">
        <f>Assumptions!G43</f>
        <v>2700000</v>
      </c>
      <c r="J42" s="29">
        <f>Assumptions!H43</f>
        <v>2951100</v>
      </c>
      <c r="K42" s="9" t="s">
        <v>219</v>
      </c>
      <c r="L42" s="9" t="s">
        <v>229</v>
      </c>
      <c r="M42" s="9" t="s">
        <v>89</v>
      </c>
      <c r="N42" s="28" t="s">
        <v>271</v>
      </c>
    </row>
    <row r="43" spans="1:14" x14ac:dyDescent="0.2">
      <c r="A43" s="1">
        <v>40</v>
      </c>
      <c r="B43" s="9" t="s">
        <v>240</v>
      </c>
      <c r="C43" s="9" t="s">
        <v>110</v>
      </c>
      <c r="D43" s="9" t="s">
        <v>92</v>
      </c>
      <c r="E43" s="29">
        <f>Assumptions!C44</f>
        <v>450000</v>
      </c>
      <c r="F43" s="29">
        <f>Assumptions!D44</f>
        <v>450000</v>
      </c>
      <c r="G43" s="29">
        <f>Assumptions!E44</f>
        <v>480000</v>
      </c>
      <c r="H43" s="29">
        <f>Assumptions!F44</f>
        <v>500000</v>
      </c>
      <c r="I43" s="29">
        <f>Assumptions!G44</f>
        <v>550000</v>
      </c>
      <c r="J43" s="29">
        <f>Assumptions!H44</f>
        <v>580000</v>
      </c>
      <c r="K43" s="9" t="s">
        <v>100</v>
      </c>
      <c r="L43" s="9" t="s">
        <v>229</v>
      </c>
      <c r="M43" s="9" t="s">
        <v>89</v>
      </c>
      <c r="N43" s="28" t="s">
        <v>272</v>
      </c>
    </row>
    <row r="44" spans="1:14" x14ac:dyDescent="0.2">
      <c r="A44" s="1">
        <v>41</v>
      </c>
      <c r="B44" s="9" t="s">
        <v>240</v>
      </c>
      <c r="C44" s="9" t="s">
        <v>111</v>
      </c>
      <c r="D44" s="9" t="s">
        <v>92</v>
      </c>
      <c r="E44" s="29">
        <f>Assumptions!C45</f>
        <v>0</v>
      </c>
      <c r="F44" s="29">
        <f>Assumptions!D45</f>
        <v>0</v>
      </c>
      <c r="G44" s="29">
        <f>Assumptions!E45</f>
        <v>150000</v>
      </c>
      <c r="H44" s="29">
        <f>Assumptions!F45</f>
        <v>180000</v>
      </c>
      <c r="I44" s="29">
        <f>Assumptions!G45</f>
        <v>200000</v>
      </c>
      <c r="J44" s="29">
        <f>Assumptions!H45</f>
        <v>220000</v>
      </c>
      <c r="K44" s="9" t="s">
        <v>100</v>
      </c>
      <c r="L44" s="9" t="s">
        <v>229</v>
      </c>
      <c r="M44" s="9" t="s">
        <v>89</v>
      </c>
      <c r="N44" s="28" t="s">
        <v>272</v>
      </c>
    </row>
    <row r="45" spans="1:14" x14ac:dyDescent="0.2">
      <c r="A45" s="1">
        <v>42</v>
      </c>
      <c r="B45" s="9" t="s">
        <v>240</v>
      </c>
      <c r="C45" s="9" t="s">
        <v>112</v>
      </c>
      <c r="D45" s="9" t="s">
        <v>92</v>
      </c>
      <c r="E45" s="29">
        <f>Assumptions!C46</f>
        <v>80000</v>
      </c>
      <c r="F45" s="29">
        <f>Assumptions!D46</f>
        <v>90000</v>
      </c>
      <c r="G45" s="29">
        <f>Assumptions!E46</f>
        <v>110000</v>
      </c>
      <c r="H45" s="29">
        <f>Assumptions!F46</f>
        <v>130000</v>
      </c>
      <c r="I45" s="29">
        <f>Assumptions!G46</f>
        <v>150000</v>
      </c>
      <c r="J45" s="29">
        <f>Assumptions!H46</f>
        <v>165000</v>
      </c>
      <c r="K45" s="9" t="s">
        <v>100</v>
      </c>
      <c r="L45" s="9" t="s">
        <v>229</v>
      </c>
      <c r="M45" s="9" t="s">
        <v>89</v>
      </c>
      <c r="N45" s="28" t="s">
        <v>272</v>
      </c>
    </row>
    <row r="46" spans="1:14" ht="30" x14ac:dyDescent="0.2">
      <c r="A46" s="1">
        <v>43</v>
      </c>
      <c r="B46" s="9" t="s">
        <v>240</v>
      </c>
      <c r="C46" s="9" t="s">
        <v>273</v>
      </c>
      <c r="D46" s="9" t="s">
        <v>92</v>
      </c>
      <c r="E46" s="30">
        <f t="shared" ref="E46:J46" si="9">E42-E43-E44-E45</f>
        <v>1420000</v>
      </c>
      <c r="F46" s="30">
        <f t="shared" si="9"/>
        <v>1460000</v>
      </c>
      <c r="G46" s="30">
        <f t="shared" si="9"/>
        <v>1460000</v>
      </c>
      <c r="H46" s="30">
        <f t="shared" si="9"/>
        <v>1640000</v>
      </c>
      <c r="I46" s="30">
        <f t="shared" si="9"/>
        <v>1800000</v>
      </c>
      <c r="J46" s="30">
        <f t="shared" si="9"/>
        <v>1986100</v>
      </c>
      <c r="K46" s="9" t="s">
        <v>200</v>
      </c>
      <c r="L46" s="9" t="s">
        <v>229</v>
      </c>
      <c r="M46" s="9" t="s">
        <v>274</v>
      </c>
      <c r="N46" s="28" t="s">
        <v>275</v>
      </c>
    </row>
    <row r="47" spans="1:14" x14ac:dyDescent="0.2">
      <c r="A47" s="1">
        <v>44</v>
      </c>
      <c r="B47" s="9" t="s">
        <v>240</v>
      </c>
      <c r="C47" s="9" t="s">
        <v>114</v>
      </c>
      <c r="D47" s="9" t="s">
        <v>92</v>
      </c>
      <c r="E47" s="29">
        <f>Assumptions!C47</f>
        <v>150000</v>
      </c>
      <c r="F47" s="29">
        <f>Assumptions!D47</f>
        <v>100000</v>
      </c>
      <c r="G47" s="29">
        <f>Assumptions!E47</f>
        <v>100000</v>
      </c>
      <c r="H47" s="29">
        <f>Assumptions!F47</f>
        <v>110000</v>
      </c>
      <c r="I47" s="29">
        <f>Assumptions!G47</f>
        <v>130000</v>
      </c>
      <c r="J47" s="29">
        <f>Assumptions!H47</f>
        <v>145000</v>
      </c>
      <c r="K47" s="9" t="s">
        <v>100</v>
      </c>
      <c r="L47" s="9" t="s">
        <v>229</v>
      </c>
      <c r="M47" s="9" t="s">
        <v>276</v>
      </c>
      <c r="N47" s="28" t="s">
        <v>277</v>
      </c>
    </row>
    <row r="48" spans="1:14" x14ac:dyDescent="0.2">
      <c r="A48" s="1">
        <v>45</v>
      </c>
      <c r="B48" s="9" t="s">
        <v>240</v>
      </c>
      <c r="C48" s="9" t="s">
        <v>173</v>
      </c>
      <c r="D48" s="9" t="s">
        <v>92</v>
      </c>
      <c r="E48" s="29">
        <f>Assumptions!C80</f>
        <v>80000</v>
      </c>
      <c r="F48" s="29">
        <f>Assumptions!D80</f>
        <v>90000</v>
      </c>
      <c r="G48" s="29">
        <f>Assumptions!E80</f>
        <v>100000</v>
      </c>
      <c r="H48" s="29">
        <f>Assumptions!F80</f>
        <v>120000</v>
      </c>
      <c r="I48" s="29">
        <f>Assumptions!G80</f>
        <v>140000</v>
      </c>
      <c r="J48" s="29">
        <f>Assumptions!H80</f>
        <v>160000</v>
      </c>
      <c r="K48" s="9" t="s">
        <v>100</v>
      </c>
      <c r="L48" s="9" t="s">
        <v>229</v>
      </c>
      <c r="M48" s="9" t="s">
        <v>89</v>
      </c>
      <c r="N48" s="28" t="s">
        <v>278</v>
      </c>
    </row>
    <row r="49" spans="1:14" ht="30" x14ac:dyDescent="0.2">
      <c r="A49" s="32">
        <v>46</v>
      </c>
      <c r="B49" s="33" t="s">
        <v>240</v>
      </c>
      <c r="C49" s="34" t="s">
        <v>279</v>
      </c>
      <c r="D49" s="33" t="s">
        <v>92</v>
      </c>
      <c r="E49" s="35">
        <f t="shared" ref="E49:J49" si="10">E28+E34+E36+E40+E42+E47+E48</f>
        <v>8458030.7446153834</v>
      </c>
      <c r="F49" s="35">
        <f t="shared" si="10"/>
        <v>8954438.9187692292</v>
      </c>
      <c r="G49" s="35">
        <f t="shared" si="10"/>
        <v>9771831.5169230774</v>
      </c>
      <c r="H49" s="35">
        <f t="shared" si="10"/>
        <v>10405838.464</v>
      </c>
      <c r="I49" s="35">
        <f t="shared" si="10"/>
        <v>11210427.359999999</v>
      </c>
      <c r="J49" s="35">
        <f t="shared" si="10"/>
        <v>12031865</v>
      </c>
      <c r="K49" s="33" t="s">
        <v>200</v>
      </c>
      <c r="L49" s="33" t="s">
        <v>209</v>
      </c>
      <c r="M49" s="33" t="s">
        <v>280</v>
      </c>
      <c r="N49" s="36" t="s">
        <v>281</v>
      </c>
    </row>
    <row r="50" spans="1:14" x14ac:dyDescent="0.2">
      <c r="A50" s="1">
        <v>47</v>
      </c>
      <c r="B50" s="9" t="s">
        <v>240</v>
      </c>
      <c r="C50" s="9" t="s">
        <v>172</v>
      </c>
      <c r="D50" s="9" t="s">
        <v>92</v>
      </c>
      <c r="E50" s="29">
        <f>Assumptions!C79</f>
        <v>4200000</v>
      </c>
      <c r="F50" s="29">
        <f>Assumptions!D79</f>
        <v>4300000</v>
      </c>
      <c r="G50" s="29">
        <f>Assumptions!E79</f>
        <v>4400000</v>
      </c>
      <c r="H50" s="29">
        <f>Assumptions!F79</f>
        <v>4500000</v>
      </c>
      <c r="I50" s="29">
        <f>Assumptions!G79</f>
        <v>4700000</v>
      </c>
      <c r="J50" s="29">
        <f>Assumptions!H79</f>
        <v>4900000</v>
      </c>
      <c r="K50" s="9" t="s">
        <v>100</v>
      </c>
      <c r="L50" s="9" t="s">
        <v>229</v>
      </c>
      <c r="M50" s="9" t="s">
        <v>89</v>
      </c>
      <c r="N50" s="28" t="s">
        <v>282</v>
      </c>
    </row>
    <row r="51" spans="1:14" x14ac:dyDescent="0.2">
      <c r="A51" s="1">
        <v>48</v>
      </c>
      <c r="B51" s="9" t="s">
        <v>240</v>
      </c>
      <c r="C51" s="9" t="s">
        <v>283</v>
      </c>
      <c r="D51" s="9" t="s">
        <v>92</v>
      </c>
      <c r="E51" s="30">
        <f t="shared" ref="E51:J51" si="11">E49+E50</f>
        <v>12658030.744615383</v>
      </c>
      <c r="F51" s="30">
        <f t="shared" si="11"/>
        <v>13254438.918769229</v>
      </c>
      <c r="G51" s="30">
        <f t="shared" si="11"/>
        <v>14171831.516923077</v>
      </c>
      <c r="H51" s="30">
        <f t="shared" si="11"/>
        <v>14905838.464</v>
      </c>
      <c r="I51" s="30">
        <f t="shared" si="11"/>
        <v>15910427.359999999</v>
      </c>
      <c r="J51" s="30">
        <f t="shared" si="11"/>
        <v>16931865</v>
      </c>
      <c r="K51" s="9" t="s">
        <v>200</v>
      </c>
      <c r="L51" s="9" t="s">
        <v>229</v>
      </c>
      <c r="M51" s="9" t="s">
        <v>284</v>
      </c>
      <c r="N51" s="28" t="s">
        <v>285</v>
      </c>
    </row>
    <row r="52" spans="1:14" x14ac:dyDescent="0.2">
      <c r="A52" s="56" t="s">
        <v>286</v>
      </c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</row>
    <row r="53" spans="1:14" x14ac:dyDescent="0.2">
      <c r="A53" s="1">
        <v>49</v>
      </c>
      <c r="B53" s="9" t="s">
        <v>287</v>
      </c>
      <c r="C53" s="9" t="s">
        <v>44</v>
      </c>
      <c r="D53" s="9" t="s">
        <v>45</v>
      </c>
      <c r="E53" s="27">
        <f>Assumptions!C15</f>
        <v>12920</v>
      </c>
      <c r="F53" s="27">
        <f>Assumptions!D15</f>
        <v>12920</v>
      </c>
      <c r="G53" s="27">
        <f>Assumptions!E15</f>
        <v>12920</v>
      </c>
      <c r="H53" s="27">
        <f>Assumptions!F15</f>
        <v>12920</v>
      </c>
      <c r="I53" s="27">
        <f>Assumptions!G15</f>
        <v>12920</v>
      </c>
      <c r="J53" s="27">
        <f>Assumptions!H15</f>
        <v>12920</v>
      </c>
      <c r="K53" s="9" t="s">
        <v>47</v>
      </c>
      <c r="L53" s="9" t="s">
        <v>209</v>
      </c>
      <c r="M53" s="9" t="s">
        <v>288</v>
      </c>
      <c r="N53" s="28" t="s">
        <v>289</v>
      </c>
    </row>
    <row r="54" spans="1:14" x14ac:dyDescent="0.2">
      <c r="A54" s="1">
        <v>50</v>
      </c>
      <c r="B54" s="9" t="s">
        <v>287</v>
      </c>
      <c r="C54" s="9" t="s">
        <v>48</v>
      </c>
      <c r="D54" s="9" t="s">
        <v>45</v>
      </c>
      <c r="E54" s="27">
        <f>Assumptions!C16</f>
        <v>14000</v>
      </c>
      <c r="F54" s="27">
        <f>Assumptions!D16</f>
        <v>14000</v>
      </c>
      <c r="G54" s="27">
        <f>Assumptions!E16</f>
        <v>14000</v>
      </c>
      <c r="H54" s="27">
        <f>Assumptions!F16</f>
        <v>14000</v>
      </c>
      <c r="I54" s="27">
        <f>Assumptions!G16</f>
        <v>14000</v>
      </c>
      <c r="J54" s="27">
        <f>Assumptions!H16</f>
        <v>14000</v>
      </c>
      <c r="K54" s="9" t="s">
        <v>42</v>
      </c>
      <c r="L54" s="9" t="s">
        <v>192</v>
      </c>
      <c r="M54" s="9" t="s">
        <v>290</v>
      </c>
      <c r="N54" s="28" t="s">
        <v>291</v>
      </c>
    </row>
    <row r="55" spans="1:14" x14ac:dyDescent="0.2">
      <c r="A55" s="1">
        <v>51</v>
      </c>
      <c r="B55" s="9" t="s">
        <v>287</v>
      </c>
      <c r="C55" s="9" t="s">
        <v>138</v>
      </c>
      <c r="D55" s="9" t="s">
        <v>92</v>
      </c>
      <c r="E55" s="29">
        <f>Assumptions!C58</f>
        <v>0</v>
      </c>
      <c r="F55" s="29">
        <f>Assumptions!D58</f>
        <v>0</v>
      </c>
      <c r="G55" s="29">
        <f>Assumptions!E58</f>
        <v>775716</v>
      </c>
      <c r="H55" s="29">
        <f>Assumptions!F58</f>
        <v>799107</v>
      </c>
      <c r="I55" s="29">
        <f>Assumptions!G58</f>
        <v>823084</v>
      </c>
      <c r="J55" s="29">
        <f>Assumptions!H58</f>
        <v>839546</v>
      </c>
      <c r="K55" s="9" t="s">
        <v>292</v>
      </c>
      <c r="L55" s="9" t="s">
        <v>209</v>
      </c>
      <c r="M55" s="9" t="s">
        <v>293</v>
      </c>
      <c r="N55" s="28" t="s">
        <v>294</v>
      </c>
    </row>
    <row r="56" spans="1:14" x14ac:dyDescent="0.2">
      <c r="A56" s="1">
        <v>52</v>
      </c>
      <c r="B56" s="9" t="s">
        <v>287</v>
      </c>
      <c r="C56" s="9" t="s">
        <v>140</v>
      </c>
      <c r="D56" s="9" t="s">
        <v>24</v>
      </c>
      <c r="E56" s="31">
        <f>Assumptions!C59</f>
        <v>0</v>
      </c>
      <c r="F56" s="31">
        <f>Assumptions!D59</f>
        <v>0</v>
      </c>
      <c r="G56" s="31">
        <f>Assumptions!E59</f>
        <v>0</v>
      </c>
      <c r="H56" s="31">
        <f>Assumptions!F59</f>
        <v>0.03</v>
      </c>
      <c r="I56" s="31">
        <f>Assumptions!G59</f>
        <v>0.03</v>
      </c>
      <c r="J56" s="31">
        <f>Assumptions!H59</f>
        <v>0.02</v>
      </c>
      <c r="K56" s="9" t="s">
        <v>295</v>
      </c>
      <c r="L56" s="9" t="s">
        <v>209</v>
      </c>
      <c r="M56" s="9" t="s">
        <v>296</v>
      </c>
      <c r="N56" s="28" t="s">
        <v>297</v>
      </c>
    </row>
    <row r="57" spans="1:14" x14ac:dyDescent="0.2">
      <c r="A57" s="1">
        <v>53</v>
      </c>
      <c r="B57" s="9" t="s">
        <v>287</v>
      </c>
      <c r="C57" s="9" t="s">
        <v>142</v>
      </c>
      <c r="D57" s="9" t="s">
        <v>92</v>
      </c>
      <c r="E57" s="29">
        <f>Assumptions!C60</f>
        <v>12000</v>
      </c>
      <c r="F57" s="29">
        <f>Assumptions!D60</f>
        <v>12000</v>
      </c>
      <c r="G57" s="29">
        <f>Assumptions!E60</f>
        <v>13000</v>
      </c>
      <c r="H57" s="29">
        <f>Assumptions!F60</f>
        <v>14000</v>
      </c>
      <c r="I57" s="29">
        <f>Assumptions!G60</f>
        <v>15000</v>
      </c>
      <c r="J57" s="29">
        <f>Assumptions!H60</f>
        <v>15500</v>
      </c>
      <c r="K57" s="9" t="s">
        <v>100</v>
      </c>
      <c r="L57" s="9" t="s">
        <v>229</v>
      </c>
      <c r="M57" s="9" t="s">
        <v>298</v>
      </c>
      <c r="N57" s="28" t="s">
        <v>299</v>
      </c>
    </row>
    <row r="58" spans="1:14" x14ac:dyDescent="0.2">
      <c r="A58" s="1">
        <v>54</v>
      </c>
      <c r="B58" s="9" t="s">
        <v>287</v>
      </c>
      <c r="C58" s="9" t="s">
        <v>300</v>
      </c>
      <c r="D58" s="9" t="s">
        <v>92</v>
      </c>
      <c r="E58" s="30">
        <f t="shared" ref="E58:J58" si="12">E57*E4</f>
        <v>408000</v>
      </c>
      <c r="F58" s="30">
        <f t="shared" si="12"/>
        <v>432000</v>
      </c>
      <c r="G58" s="30">
        <f t="shared" si="12"/>
        <v>468000</v>
      </c>
      <c r="H58" s="30">
        <f t="shared" si="12"/>
        <v>504000</v>
      </c>
      <c r="I58" s="30">
        <f t="shared" si="12"/>
        <v>540000</v>
      </c>
      <c r="J58" s="30">
        <f t="shared" si="12"/>
        <v>558000</v>
      </c>
      <c r="K58" s="9" t="s">
        <v>200</v>
      </c>
      <c r="L58" s="9" t="s">
        <v>229</v>
      </c>
      <c r="M58" s="9" t="s">
        <v>301</v>
      </c>
      <c r="N58" s="28" t="s">
        <v>302</v>
      </c>
    </row>
    <row r="59" spans="1:14" x14ac:dyDescent="0.2">
      <c r="A59" s="1">
        <v>55</v>
      </c>
      <c r="B59" s="9" t="s">
        <v>287</v>
      </c>
      <c r="C59" s="9" t="s">
        <v>144</v>
      </c>
      <c r="D59" s="9" t="s">
        <v>92</v>
      </c>
      <c r="E59" s="29">
        <f>Assumptions!C61</f>
        <v>180000</v>
      </c>
      <c r="F59" s="29">
        <f>Assumptions!D61</f>
        <v>190000</v>
      </c>
      <c r="G59" s="29">
        <f>Assumptions!E61</f>
        <v>210000</v>
      </c>
      <c r="H59" s="29">
        <f>Assumptions!F61</f>
        <v>230000</v>
      </c>
      <c r="I59" s="29">
        <f>Assumptions!G61</f>
        <v>250000</v>
      </c>
      <c r="J59" s="29">
        <f>Assumptions!H61</f>
        <v>260000</v>
      </c>
      <c r="K59" s="9" t="s">
        <v>100</v>
      </c>
      <c r="L59" s="9" t="s">
        <v>229</v>
      </c>
      <c r="M59" s="9" t="s">
        <v>89</v>
      </c>
      <c r="N59" s="28" t="s">
        <v>303</v>
      </c>
    </row>
    <row r="60" spans="1:14" x14ac:dyDescent="0.2">
      <c r="A60" s="1">
        <v>56</v>
      </c>
      <c r="B60" s="9" t="s">
        <v>287</v>
      </c>
      <c r="C60" s="9" t="s">
        <v>145</v>
      </c>
      <c r="D60" s="9" t="s">
        <v>92</v>
      </c>
      <c r="E60" s="29">
        <f>Assumptions!C62</f>
        <v>80000</v>
      </c>
      <c r="F60" s="29">
        <f>Assumptions!D62</f>
        <v>85000</v>
      </c>
      <c r="G60" s="29">
        <f>Assumptions!E62</f>
        <v>90000</v>
      </c>
      <c r="H60" s="29">
        <f>Assumptions!F62</f>
        <v>95000</v>
      </c>
      <c r="I60" s="29">
        <f>Assumptions!G62</f>
        <v>100000</v>
      </c>
      <c r="J60" s="29">
        <f>Assumptions!H62</f>
        <v>105000</v>
      </c>
      <c r="K60" s="9" t="s">
        <v>100</v>
      </c>
      <c r="L60" s="9" t="s">
        <v>229</v>
      </c>
      <c r="M60" s="9" t="s">
        <v>89</v>
      </c>
      <c r="N60" s="28" t="s">
        <v>304</v>
      </c>
    </row>
    <row r="61" spans="1:14" x14ac:dyDescent="0.2">
      <c r="A61" s="1">
        <v>57</v>
      </c>
      <c r="B61" s="9" t="s">
        <v>287</v>
      </c>
      <c r="C61" s="9" t="s">
        <v>146</v>
      </c>
      <c r="D61" s="9" t="s">
        <v>92</v>
      </c>
      <c r="E61" s="29">
        <f>Assumptions!C63</f>
        <v>0</v>
      </c>
      <c r="F61" s="29">
        <f>Assumptions!D63</f>
        <v>0</v>
      </c>
      <c r="G61" s="29">
        <f>Assumptions!E63</f>
        <v>0</v>
      </c>
      <c r="H61" s="29">
        <f>Assumptions!F63</f>
        <v>0</v>
      </c>
      <c r="I61" s="29">
        <f>Assumptions!G63</f>
        <v>0</v>
      </c>
      <c r="J61" s="29">
        <f>Assumptions!H63</f>
        <v>0</v>
      </c>
      <c r="K61" s="9" t="s">
        <v>47</v>
      </c>
      <c r="L61" s="9" t="s">
        <v>229</v>
      </c>
      <c r="M61" s="9" t="s">
        <v>147</v>
      </c>
      <c r="N61" s="28" t="s">
        <v>305</v>
      </c>
    </row>
    <row r="62" spans="1:14" x14ac:dyDescent="0.2">
      <c r="A62" s="1">
        <v>58</v>
      </c>
      <c r="B62" s="9" t="s">
        <v>287</v>
      </c>
      <c r="C62" s="9" t="s">
        <v>148</v>
      </c>
      <c r="D62" s="9" t="s">
        <v>149</v>
      </c>
      <c r="E62" s="27">
        <f>Assumptions!C64</f>
        <v>0</v>
      </c>
      <c r="F62" s="27">
        <f>Assumptions!D64</f>
        <v>0</v>
      </c>
      <c r="G62" s="27">
        <f>Assumptions!E64</f>
        <v>29</v>
      </c>
      <c r="H62" s="27">
        <f>Assumptions!F64</f>
        <v>17</v>
      </c>
      <c r="I62" s="27">
        <f>Assumptions!G64</f>
        <v>5</v>
      </c>
      <c r="J62" s="27">
        <f>Assumptions!H64</f>
        <v>0</v>
      </c>
      <c r="K62" s="9" t="s">
        <v>100</v>
      </c>
      <c r="L62" s="9" t="s">
        <v>229</v>
      </c>
      <c r="M62" s="9" t="s">
        <v>306</v>
      </c>
      <c r="N62" s="28" t="s">
        <v>307</v>
      </c>
    </row>
    <row r="63" spans="1:14" x14ac:dyDescent="0.2">
      <c r="A63" s="1">
        <v>59</v>
      </c>
      <c r="B63" s="9" t="s">
        <v>287</v>
      </c>
      <c r="C63" s="9" t="s">
        <v>151</v>
      </c>
      <c r="D63" s="9" t="s">
        <v>92</v>
      </c>
      <c r="E63" s="29">
        <f>Assumptions!C65</f>
        <v>250000</v>
      </c>
      <c r="F63" s="29">
        <f>Assumptions!D65</f>
        <v>250000</v>
      </c>
      <c r="G63" s="29">
        <f>Assumptions!E65</f>
        <v>260000</v>
      </c>
      <c r="H63" s="29">
        <f>Assumptions!F65</f>
        <v>275000</v>
      </c>
      <c r="I63" s="29">
        <f>Assumptions!G65</f>
        <v>300000</v>
      </c>
      <c r="J63" s="29">
        <f>Assumptions!H65</f>
        <v>310000</v>
      </c>
      <c r="K63" s="9" t="s">
        <v>100</v>
      </c>
      <c r="L63" s="9" t="s">
        <v>229</v>
      </c>
      <c r="M63" s="9" t="s">
        <v>89</v>
      </c>
      <c r="N63" s="28" t="s">
        <v>308</v>
      </c>
    </row>
    <row r="64" spans="1:14" x14ac:dyDescent="0.2">
      <c r="A64" s="1">
        <v>60</v>
      </c>
      <c r="B64" s="9" t="s">
        <v>287</v>
      </c>
      <c r="C64" s="9" t="s">
        <v>152</v>
      </c>
      <c r="D64" s="9" t="s">
        <v>92</v>
      </c>
      <c r="E64" s="29">
        <f>Assumptions!C66</f>
        <v>50000</v>
      </c>
      <c r="F64" s="29">
        <f>Assumptions!D66</f>
        <v>50000</v>
      </c>
      <c r="G64" s="29">
        <f>Assumptions!E66</f>
        <v>50000</v>
      </c>
      <c r="H64" s="29">
        <f>Assumptions!F66</f>
        <v>50000</v>
      </c>
      <c r="I64" s="29">
        <f>Assumptions!G66</f>
        <v>50000</v>
      </c>
      <c r="J64" s="29">
        <f>Assumptions!H66</f>
        <v>50000</v>
      </c>
      <c r="K64" s="9" t="s">
        <v>100</v>
      </c>
      <c r="L64" s="9" t="s">
        <v>229</v>
      </c>
      <c r="M64" s="9" t="s">
        <v>89</v>
      </c>
      <c r="N64" s="28" t="s">
        <v>309</v>
      </c>
    </row>
    <row r="65" spans="1:14" x14ac:dyDescent="0.2">
      <c r="A65" s="1">
        <v>61</v>
      </c>
      <c r="B65" s="9" t="s">
        <v>287</v>
      </c>
      <c r="C65" s="9" t="s">
        <v>153</v>
      </c>
      <c r="D65" s="9" t="s">
        <v>24</v>
      </c>
      <c r="E65" s="31">
        <f>Assumptions!C67</f>
        <v>0.05</v>
      </c>
      <c r="F65" s="31">
        <f>Assumptions!D67</f>
        <v>0.05</v>
      </c>
      <c r="G65" s="31">
        <f>Assumptions!E67</f>
        <v>0.05</v>
      </c>
      <c r="H65" s="31">
        <f>Assumptions!F67</f>
        <v>0.05</v>
      </c>
      <c r="I65" s="31">
        <f>Assumptions!G67</f>
        <v>0.05</v>
      </c>
      <c r="J65" s="31">
        <f>Assumptions!H67</f>
        <v>0.05</v>
      </c>
      <c r="K65" s="9" t="s">
        <v>100</v>
      </c>
      <c r="L65" s="9" t="s">
        <v>229</v>
      </c>
      <c r="M65" s="9" t="s">
        <v>89</v>
      </c>
      <c r="N65" s="28" t="s">
        <v>310</v>
      </c>
    </row>
    <row r="66" spans="1:14" x14ac:dyDescent="0.2">
      <c r="A66" s="56" t="s">
        <v>311</v>
      </c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</row>
    <row r="67" spans="1:14" x14ac:dyDescent="0.2">
      <c r="A67" s="1">
        <v>62</v>
      </c>
      <c r="B67" s="9" t="s">
        <v>312</v>
      </c>
      <c r="C67" s="9" t="s">
        <v>155</v>
      </c>
      <c r="D67" s="9" t="s">
        <v>156</v>
      </c>
      <c r="E67" s="27">
        <f>Assumptions!C68</f>
        <v>22</v>
      </c>
      <c r="F67" s="27">
        <f>Assumptions!D68</f>
        <v>24</v>
      </c>
      <c r="G67" s="27">
        <f>Assumptions!E68</f>
        <v>26</v>
      </c>
      <c r="H67" s="27">
        <f>Assumptions!F68</f>
        <v>22</v>
      </c>
      <c r="I67" s="27">
        <f>Assumptions!G68</f>
        <v>29</v>
      </c>
      <c r="J67" s="27">
        <f>Assumptions!H68</f>
        <v>29</v>
      </c>
      <c r="K67" s="9" t="s">
        <v>292</v>
      </c>
      <c r="L67" s="9" t="s">
        <v>209</v>
      </c>
      <c r="M67" s="9" t="s">
        <v>313</v>
      </c>
      <c r="N67" s="28" t="s">
        <v>314</v>
      </c>
    </row>
    <row r="68" spans="1:14" x14ac:dyDescent="0.2">
      <c r="A68" s="1">
        <v>63</v>
      </c>
      <c r="B68" s="9" t="s">
        <v>312</v>
      </c>
      <c r="C68" s="9" t="s">
        <v>158</v>
      </c>
      <c r="D68" s="9" t="s">
        <v>92</v>
      </c>
      <c r="E68" s="29">
        <f>Assumptions!C69</f>
        <v>550000</v>
      </c>
      <c r="F68" s="29">
        <f>Assumptions!D69</f>
        <v>560000</v>
      </c>
      <c r="G68" s="29">
        <f>Assumptions!E69</f>
        <v>580000</v>
      </c>
      <c r="H68" s="29">
        <f>Assumptions!F69</f>
        <v>620000</v>
      </c>
      <c r="I68" s="29">
        <f>Assumptions!G69</f>
        <v>680000</v>
      </c>
      <c r="J68" s="29">
        <f>Assumptions!H69</f>
        <v>710000</v>
      </c>
      <c r="K68" s="9" t="s">
        <v>100</v>
      </c>
      <c r="L68" s="9" t="s">
        <v>229</v>
      </c>
      <c r="M68" s="9" t="s">
        <v>89</v>
      </c>
      <c r="N68" s="28" t="s">
        <v>315</v>
      </c>
    </row>
    <row r="69" spans="1:14" x14ac:dyDescent="0.2">
      <c r="A69" s="1">
        <v>64</v>
      </c>
      <c r="B69" s="9" t="s">
        <v>312</v>
      </c>
      <c r="C69" s="9" t="s">
        <v>159</v>
      </c>
      <c r="D69" s="9" t="s">
        <v>160</v>
      </c>
      <c r="E69" s="27">
        <f>Assumptions!C70</f>
        <v>42</v>
      </c>
      <c r="F69" s="27">
        <f>Assumptions!D70</f>
        <v>43</v>
      </c>
      <c r="G69" s="27">
        <f>Assumptions!E70</f>
        <v>44</v>
      </c>
      <c r="H69" s="27">
        <f>Assumptions!F70</f>
        <v>45</v>
      </c>
      <c r="I69" s="27">
        <f>Assumptions!G70</f>
        <v>46</v>
      </c>
      <c r="J69" s="27">
        <f>Assumptions!H70</f>
        <v>47</v>
      </c>
      <c r="K69" s="9" t="s">
        <v>100</v>
      </c>
      <c r="L69" s="9" t="s">
        <v>209</v>
      </c>
      <c r="M69" s="9" t="s">
        <v>316</v>
      </c>
      <c r="N69" s="28" t="s">
        <v>317</v>
      </c>
    </row>
    <row r="70" spans="1:14" x14ac:dyDescent="0.2">
      <c r="A70" s="1">
        <v>65</v>
      </c>
      <c r="B70" s="9" t="s">
        <v>312</v>
      </c>
      <c r="C70" s="9" t="s">
        <v>162</v>
      </c>
      <c r="D70" s="9" t="s">
        <v>92</v>
      </c>
      <c r="E70" s="29">
        <f>Assumptions!C71</f>
        <v>100000</v>
      </c>
      <c r="F70" s="29">
        <f>Assumptions!D71</f>
        <v>110000</v>
      </c>
      <c r="G70" s="29">
        <f>Assumptions!E71</f>
        <v>130000</v>
      </c>
      <c r="H70" s="29">
        <f>Assumptions!F71</f>
        <v>150000</v>
      </c>
      <c r="I70" s="29">
        <f>Assumptions!G71</f>
        <v>175000</v>
      </c>
      <c r="J70" s="29">
        <f>Assumptions!H71</f>
        <v>185000</v>
      </c>
      <c r="K70" s="9" t="s">
        <v>100</v>
      </c>
      <c r="L70" s="9" t="s">
        <v>229</v>
      </c>
      <c r="M70" s="9" t="s">
        <v>89</v>
      </c>
      <c r="N70" s="28" t="s">
        <v>318</v>
      </c>
    </row>
    <row r="71" spans="1:14" x14ac:dyDescent="0.2">
      <c r="A71" s="1">
        <v>66</v>
      </c>
      <c r="B71" s="9" t="s">
        <v>312</v>
      </c>
      <c r="C71" s="9" t="s">
        <v>163</v>
      </c>
      <c r="D71" s="9" t="s">
        <v>24</v>
      </c>
      <c r="E71" s="31">
        <f>Assumptions!C72</f>
        <v>0.82</v>
      </c>
      <c r="F71" s="31">
        <f>Assumptions!D72</f>
        <v>0.82</v>
      </c>
      <c r="G71" s="31">
        <f>Assumptions!E72</f>
        <v>0.83</v>
      </c>
      <c r="H71" s="31">
        <f>Assumptions!F72</f>
        <v>0.84</v>
      </c>
      <c r="I71" s="31">
        <f>Assumptions!G72</f>
        <v>0.84</v>
      </c>
      <c r="J71" s="31">
        <f>Assumptions!H72</f>
        <v>0.84</v>
      </c>
      <c r="K71" s="9" t="s">
        <v>100</v>
      </c>
      <c r="L71" s="9" t="s">
        <v>229</v>
      </c>
      <c r="M71" s="9" t="s">
        <v>89</v>
      </c>
      <c r="N71" s="28" t="s">
        <v>319</v>
      </c>
    </row>
    <row r="72" spans="1:14" x14ac:dyDescent="0.2">
      <c r="A72" s="1">
        <v>67</v>
      </c>
      <c r="B72" s="9" t="s">
        <v>312</v>
      </c>
      <c r="C72" s="9" t="s">
        <v>164</v>
      </c>
      <c r="D72" s="9" t="s">
        <v>92</v>
      </c>
      <c r="E72" s="29">
        <f>Assumptions!C73</f>
        <v>200000</v>
      </c>
      <c r="F72" s="29">
        <f>Assumptions!D73</f>
        <v>210000</v>
      </c>
      <c r="G72" s="29">
        <f>Assumptions!E73</f>
        <v>230000</v>
      </c>
      <c r="H72" s="29">
        <f>Assumptions!F73</f>
        <v>250000</v>
      </c>
      <c r="I72" s="29">
        <f>Assumptions!G73</f>
        <v>280000</v>
      </c>
      <c r="J72" s="29">
        <f>Assumptions!H73</f>
        <v>290000</v>
      </c>
      <c r="K72" s="9" t="s">
        <v>100</v>
      </c>
      <c r="L72" s="9" t="s">
        <v>229</v>
      </c>
      <c r="M72" s="9" t="s">
        <v>89</v>
      </c>
      <c r="N72" s="28" t="s">
        <v>320</v>
      </c>
    </row>
    <row r="73" spans="1:14" x14ac:dyDescent="0.2">
      <c r="A73" s="1">
        <v>68</v>
      </c>
      <c r="B73" s="9" t="s">
        <v>312</v>
      </c>
      <c r="C73" s="9" t="s">
        <v>165</v>
      </c>
      <c r="D73" s="9" t="s">
        <v>92</v>
      </c>
      <c r="E73" s="29">
        <f>Assumptions!C74</f>
        <v>49000</v>
      </c>
      <c r="F73" s="29">
        <f>Assumptions!D74</f>
        <v>50000</v>
      </c>
      <c r="G73" s="29">
        <f>Assumptions!E74</f>
        <v>51500</v>
      </c>
      <c r="H73" s="29">
        <f>Assumptions!F74</f>
        <v>52725</v>
      </c>
      <c r="I73" s="29">
        <f>Assumptions!G74</f>
        <v>54000</v>
      </c>
      <c r="J73" s="29">
        <f>Assumptions!H74</f>
        <v>55620</v>
      </c>
      <c r="K73" s="9" t="s">
        <v>219</v>
      </c>
      <c r="L73" s="9" t="s">
        <v>209</v>
      </c>
      <c r="M73" s="9" t="s">
        <v>321</v>
      </c>
      <c r="N73" s="28" t="s">
        <v>322</v>
      </c>
    </row>
    <row r="74" spans="1:14" x14ac:dyDescent="0.2">
      <c r="A74" s="1">
        <v>69</v>
      </c>
      <c r="B74" s="9" t="s">
        <v>312</v>
      </c>
      <c r="C74" s="9" t="s">
        <v>167</v>
      </c>
      <c r="D74" s="9" t="s">
        <v>92</v>
      </c>
      <c r="E74" s="29">
        <f>Assumptions!C75</f>
        <v>65000</v>
      </c>
      <c r="F74" s="29">
        <f>Assumptions!D75</f>
        <v>66000</v>
      </c>
      <c r="G74" s="29">
        <f>Assumptions!E75</f>
        <v>70000</v>
      </c>
      <c r="H74" s="29">
        <f>Assumptions!F75</f>
        <v>74000</v>
      </c>
      <c r="I74" s="29">
        <f>Assumptions!G75</f>
        <v>78000</v>
      </c>
      <c r="J74" s="29">
        <f>Assumptions!H75</f>
        <v>80000</v>
      </c>
      <c r="K74" s="9" t="s">
        <v>100</v>
      </c>
      <c r="L74" s="9" t="s">
        <v>229</v>
      </c>
      <c r="M74" s="9" t="s">
        <v>89</v>
      </c>
      <c r="N74" s="28" t="s">
        <v>323</v>
      </c>
    </row>
    <row r="75" spans="1:14" x14ac:dyDescent="0.2">
      <c r="A75" s="1">
        <v>70</v>
      </c>
      <c r="B75" s="9" t="s">
        <v>312</v>
      </c>
      <c r="C75" s="9" t="s">
        <v>168</v>
      </c>
      <c r="D75" s="9" t="s">
        <v>92</v>
      </c>
      <c r="E75" s="29">
        <f>Assumptions!C76</f>
        <v>200000</v>
      </c>
      <c r="F75" s="29">
        <f>Assumptions!D76</f>
        <v>210000</v>
      </c>
      <c r="G75" s="29">
        <f>Assumptions!E76</f>
        <v>230000</v>
      </c>
      <c r="H75" s="29">
        <f>Assumptions!F76</f>
        <v>250000</v>
      </c>
      <c r="I75" s="29">
        <f>Assumptions!G76</f>
        <v>270000</v>
      </c>
      <c r="J75" s="29">
        <f>Assumptions!H76</f>
        <v>280000</v>
      </c>
      <c r="K75" s="9" t="s">
        <v>100</v>
      </c>
      <c r="L75" s="9" t="s">
        <v>229</v>
      </c>
      <c r="M75" s="9" t="s">
        <v>89</v>
      </c>
      <c r="N75" s="28" t="s">
        <v>324</v>
      </c>
    </row>
    <row r="76" spans="1:14" x14ac:dyDescent="0.2">
      <c r="A76" s="1">
        <v>71</v>
      </c>
      <c r="B76" s="9" t="s">
        <v>312</v>
      </c>
      <c r="C76" s="9" t="s">
        <v>169</v>
      </c>
      <c r="D76" s="9" t="s">
        <v>92</v>
      </c>
      <c r="E76" s="29">
        <f>Assumptions!C77</f>
        <v>150000</v>
      </c>
      <c r="F76" s="29">
        <f>Assumptions!D77</f>
        <v>155000</v>
      </c>
      <c r="G76" s="29">
        <f>Assumptions!E77</f>
        <v>165000</v>
      </c>
      <c r="H76" s="29">
        <f>Assumptions!F77</f>
        <v>175000</v>
      </c>
      <c r="I76" s="29">
        <f>Assumptions!G77</f>
        <v>190000</v>
      </c>
      <c r="J76" s="29">
        <f>Assumptions!H77</f>
        <v>195000</v>
      </c>
      <c r="K76" s="9" t="s">
        <v>100</v>
      </c>
      <c r="L76" s="9" t="s">
        <v>229</v>
      </c>
      <c r="M76" s="9" t="s">
        <v>89</v>
      </c>
      <c r="N76" s="28" t="s">
        <v>325</v>
      </c>
    </row>
    <row r="77" spans="1:14" x14ac:dyDescent="0.2">
      <c r="A77" s="1">
        <v>72</v>
      </c>
      <c r="B77" s="9" t="s">
        <v>312</v>
      </c>
      <c r="C77" s="9" t="s">
        <v>170</v>
      </c>
      <c r="D77" s="9" t="s">
        <v>156</v>
      </c>
      <c r="E77" s="27">
        <f>Assumptions!C78</f>
        <v>8</v>
      </c>
      <c r="F77" s="27">
        <f>Assumptions!D78</f>
        <v>8</v>
      </c>
      <c r="G77" s="27">
        <f>Assumptions!E78</f>
        <v>9</v>
      </c>
      <c r="H77" s="27">
        <f>Assumptions!F78</f>
        <v>9</v>
      </c>
      <c r="I77" s="27">
        <f>Assumptions!G78</f>
        <v>15</v>
      </c>
      <c r="J77" s="27">
        <f>Assumptions!H78</f>
        <v>15</v>
      </c>
      <c r="K77" s="9" t="s">
        <v>100</v>
      </c>
      <c r="L77" s="9" t="s">
        <v>229</v>
      </c>
      <c r="M77" s="9" t="s">
        <v>326</v>
      </c>
      <c r="N77" s="28" t="s">
        <v>327</v>
      </c>
    </row>
    <row r="78" spans="1:14" x14ac:dyDescent="0.2">
      <c r="A78" s="56" t="s">
        <v>328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</row>
    <row r="79" spans="1:14" x14ac:dyDescent="0.2">
      <c r="A79" s="1">
        <v>73</v>
      </c>
      <c r="B79" s="9" t="s">
        <v>329</v>
      </c>
      <c r="C79" s="9" t="s">
        <v>117</v>
      </c>
      <c r="D79" s="9" t="s">
        <v>118</v>
      </c>
      <c r="E79" s="27">
        <f>Assumptions!C48</f>
        <v>18000</v>
      </c>
      <c r="F79" s="27">
        <f>Assumptions!D48</f>
        <v>19000</v>
      </c>
      <c r="G79" s="27">
        <f>Assumptions!E48</f>
        <v>20000</v>
      </c>
      <c r="H79" s="27">
        <f>Assumptions!F48</f>
        <v>21000</v>
      </c>
      <c r="I79" s="27">
        <f>Assumptions!G48</f>
        <v>22000</v>
      </c>
      <c r="J79" s="27">
        <f>Assumptions!H48</f>
        <v>23000</v>
      </c>
      <c r="K79" s="9" t="s">
        <v>100</v>
      </c>
      <c r="L79" s="9" t="s">
        <v>229</v>
      </c>
      <c r="M79" s="9" t="s">
        <v>89</v>
      </c>
      <c r="N79" s="28" t="s">
        <v>330</v>
      </c>
    </row>
    <row r="80" spans="1:14" x14ac:dyDescent="0.2">
      <c r="A80" s="1">
        <v>74</v>
      </c>
      <c r="B80" s="9" t="s">
        <v>329</v>
      </c>
      <c r="C80" s="9" t="s">
        <v>181</v>
      </c>
      <c r="D80" s="9" t="s">
        <v>92</v>
      </c>
      <c r="E80" s="29">
        <f>Assumptions!C85</f>
        <v>5</v>
      </c>
      <c r="F80" s="29">
        <f>Assumptions!D85</f>
        <v>5</v>
      </c>
      <c r="G80" s="29">
        <f>Assumptions!E85</f>
        <v>5</v>
      </c>
      <c r="H80" s="29">
        <f>Assumptions!F85</f>
        <v>5</v>
      </c>
      <c r="I80" s="29">
        <f>Assumptions!G85</f>
        <v>5</v>
      </c>
      <c r="J80" s="29">
        <f>Assumptions!H85</f>
        <v>5</v>
      </c>
      <c r="K80" s="9" t="s">
        <v>26</v>
      </c>
      <c r="L80" s="9" t="s">
        <v>209</v>
      </c>
      <c r="M80" s="9" t="s">
        <v>331</v>
      </c>
      <c r="N80" s="28" t="s">
        <v>332</v>
      </c>
    </row>
    <row r="81" spans="1:14" x14ac:dyDescent="0.2">
      <c r="A81" s="1">
        <v>75</v>
      </c>
      <c r="B81" s="9" t="s">
        <v>329</v>
      </c>
      <c r="C81" s="9" t="s">
        <v>333</v>
      </c>
      <c r="D81" s="9" t="s">
        <v>92</v>
      </c>
      <c r="E81" s="30">
        <f t="shared" ref="E81:J81" si="13">E79*E80</f>
        <v>90000</v>
      </c>
      <c r="F81" s="30">
        <f t="shared" si="13"/>
        <v>95000</v>
      </c>
      <c r="G81" s="30">
        <f t="shared" si="13"/>
        <v>100000</v>
      </c>
      <c r="H81" s="30">
        <f t="shared" si="13"/>
        <v>105000</v>
      </c>
      <c r="I81" s="30">
        <f t="shared" si="13"/>
        <v>110000</v>
      </c>
      <c r="J81" s="30">
        <f t="shared" si="13"/>
        <v>115000</v>
      </c>
      <c r="K81" s="9" t="s">
        <v>200</v>
      </c>
      <c r="L81" s="9" t="s">
        <v>229</v>
      </c>
      <c r="M81" s="9" t="s">
        <v>334</v>
      </c>
      <c r="N81" s="28" t="s">
        <v>335</v>
      </c>
    </row>
    <row r="82" spans="1:14" x14ac:dyDescent="0.2">
      <c r="A82" s="1">
        <v>76</v>
      </c>
      <c r="B82" s="9" t="s">
        <v>329</v>
      </c>
      <c r="C82" s="9" t="s">
        <v>119</v>
      </c>
      <c r="D82" s="9" t="s">
        <v>120</v>
      </c>
      <c r="E82" s="27">
        <f>Assumptions!C49</f>
        <v>150000</v>
      </c>
      <c r="F82" s="27">
        <f>Assumptions!D49</f>
        <v>165000</v>
      </c>
      <c r="G82" s="27">
        <f>Assumptions!E49</f>
        <v>180000</v>
      </c>
      <c r="H82" s="27">
        <f>Assumptions!F49</f>
        <v>195000</v>
      </c>
      <c r="I82" s="27">
        <f>Assumptions!G49</f>
        <v>205000</v>
      </c>
      <c r="J82" s="27">
        <f>Assumptions!H49</f>
        <v>215000</v>
      </c>
      <c r="K82" s="9" t="s">
        <v>100</v>
      </c>
      <c r="L82" s="9" t="s">
        <v>229</v>
      </c>
      <c r="M82" s="9" t="s">
        <v>336</v>
      </c>
      <c r="N82" s="28" t="s">
        <v>337</v>
      </c>
    </row>
    <row r="83" spans="1:14" x14ac:dyDescent="0.2">
      <c r="A83" s="1">
        <v>77</v>
      </c>
      <c r="B83" s="9" t="s">
        <v>329</v>
      </c>
      <c r="C83" s="9" t="s">
        <v>122</v>
      </c>
      <c r="D83" s="9" t="s">
        <v>123</v>
      </c>
      <c r="E83" s="27">
        <f>Assumptions!C50</f>
        <v>28000</v>
      </c>
      <c r="F83" s="27">
        <f>Assumptions!D50</f>
        <v>29000</v>
      </c>
      <c r="G83" s="27">
        <f>Assumptions!E50</f>
        <v>31000</v>
      </c>
      <c r="H83" s="27">
        <f>Assumptions!F50</f>
        <v>33000</v>
      </c>
      <c r="I83" s="27">
        <f>Assumptions!G50</f>
        <v>35200</v>
      </c>
      <c r="J83" s="27">
        <f>Assumptions!H50</f>
        <v>38016</v>
      </c>
      <c r="K83" s="9" t="s">
        <v>219</v>
      </c>
      <c r="L83" s="9" t="s">
        <v>209</v>
      </c>
      <c r="M83" s="9" t="s">
        <v>338</v>
      </c>
      <c r="N83" s="28" t="s">
        <v>339</v>
      </c>
    </row>
    <row r="84" spans="1:14" x14ac:dyDescent="0.2">
      <c r="A84" s="1">
        <v>78</v>
      </c>
      <c r="B84" s="9" t="s">
        <v>329</v>
      </c>
      <c r="C84" s="9" t="s">
        <v>125</v>
      </c>
      <c r="D84" s="9" t="s">
        <v>24</v>
      </c>
      <c r="E84" s="31">
        <f>Assumptions!C51</f>
        <v>0.5</v>
      </c>
      <c r="F84" s="31">
        <f>Assumptions!D51</f>
        <v>0.495</v>
      </c>
      <c r="G84" s="31">
        <f>Assumptions!E51</f>
        <v>0.49</v>
      </c>
      <c r="H84" s="31">
        <f>Assumptions!F51</f>
        <v>0.48</v>
      </c>
      <c r="I84" s="31">
        <f>Assumptions!G51</f>
        <v>0.47249999999999998</v>
      </c>
      <c r="J84" s="31">
        <f>Assumptions!H51</f>
        <v>0.46500000000000002</v>
      </c>
      <c r="K84" s="9" t="s">
        <v>219</v>
      </c>
      <c r="L84" s="9" t="s">
        <v>209</v>
      </c>
      <c r="M84" s="9" t="s">
        <v>338</v>
      </c>
      <c r="N84" s="28" t="s">
        <v>340</v>
      </c>
    </row>
    <row r="85" spans="1:14" x14ac:dyDescent="0.2">
      <c r="A85" s="1">
        <v>79</v>
      </c>
      <c r="B85" s="9" t="s">
        <v>329</v>
      </c>
      <c r="C85" s="9" t="s">
        <v>126</v>
      </c>
      <c r="D85" s="9" t="s">
        <v>127</v>
      </c>
      <c r="E85" s="37">
        <f>Assumptions!C52</f>
        <v>1.55</v>
      </c>
      <c r="F85" s="37">
        <f>Assumptions!D52</f>
        <v>1.6</v>
      </c>
      <c r="G85" s="37">
        <f>Assumptions!E52</f>
        <v>1.65</v>
      </c>
      <c r="H85" s="37">
        <f>Assumptions!F52</f>
        <v>1.72</v>
      </c>
      <c r="I85" s="37">
        <f>Assumptions!G52</f>
        <v>1.8</v>
      </c>
      <c r="J85" s="37">
        <f>Assumptions!H52</f>
        <v>1.9</v>
      </c>
      <c r="K85" s="9" t="s">
        <v>219</v>
      </c>
      <c r="L85" s="9" t="s">
        <v>209</v>
      </c>
      <c r="M85" s="9" t="s">
        <v>338</v>
      </c>
      <c r="N85" s="28" t="s">
        <v>340</v>
      </c>
    </row>
    <row r="86" spans="1:14" x14ac:dyDescent="0.2">
      <c r="A86" s="1">
        <v>80</v>
      </c>
      <c r="B86" s="9" t="s">
        <v>329</v>
      </c>
      <c r="C86" s="9" t="s">
        <v>128</v>
      </c>
      <c r="D86" s="9" t="s">
        <v>129</v>
      </c>
      <c r="E86" s="37">
        <f>Assumptions!C53</f>
        <v>60</v>
      </c>
      <c r="F86" s="37">
        <f>Assumptions!D53</f>
        <v>62</v>
      </c>
      <c r="G86" s="37">
        <f>Assumptions!E53</f>
        <v>65</v>
      </c>
      <c r="H86" s="37">
        <f>Assumptions!F53</f>
        <v>68</v>
      </c>
      <c r="I86" s="37">
        <f>Assumptions!G53</f>
        <v>70</v>
      </c>
      <c r="J86" s="37">
        <f>Assumptions!H53</f>
        <v>75</v>
      </c>
      <c r="K86" s="9" t="s">
        <v>219</v>
      </c>
      <c r="L86" s="9" t="s">
        <v>209</v>
      </c>
      <c r="M86" s="9" t="s">
        <v>338</v>
      </c>
      <c r="N86" s="28" t="s">
        <v>340</v>
      </c>
    </row>
    <row r="87" spans="1:14" x14ac:dyDescent="0.2">
      <c r="A87" s="1">
        <v>81</v>
      </c>
      <c r="B87" s="9" t="s">
        <v>329</v>
      </c>
      <c r="C87" s="9" t="s">
        <v>130</v>
      </c>
      <c r="D87" s="9" t="s">
        <v>24</v>
      </c>
      <c r="E87" s="31">
        <f>Assumptions!C54</f>
        <v>0.4</v>
      </c>
      <c r="F87" s="31">
        <f>Assumptions!D54</f>
        <v>0.41</v>
      </c>
      <c r="G87" s="31">
        <f>Assumptions!E54</f>
        <v>0.43</v>
      </c>
      <c r="H87" s="31">
        <f>Assumptions!F54</f>
        <v>0.44</v>
      </c>
      <c r="I87" s="31">
        <f>Assumptions!G54</f>
        <v>0.4551</v>
      </c>
      <c r="J87" s="31">
        <f>Assumptions!H54</f>
        <v>0.46</v>
      </c>
      <c r="K87" s="9" t="s">
        <v>219</v>
      </c>
      <c r="L87" s="9" t="s">
        <v>209</v>
      </c>
      <c r="M87" s="9" t="s">
        <v>338</v>
      </c>
      <c r="N87" s="28" t="s">
        <v>340</v>
      </c>
    </row>
    <row r="88" spans="1:14" x14ac:dyDescent="0.2">
      <c r="A88" s="1">
        <v>82</v>
      </c>
      <c r="B88" s="9" t="s">
        <v>329</v>
      </c>
      <c r="C88" s="9" t="s">
        <v>131</v>
      </c>
      <c r="D88" s="9" t="s">
        <v>92</v>
      </c>
      <c r="E88" s="29">
        <f>Assumptions!C55</f>
        <v>45</v>
      </c>
      <c r="F88" s="29">
        <f>Assumptions!D55</f>
        <v>44</v>
      </c>
      <c r="G88" s="29">
        <f>Assumptions!E55</f>
        <v>42</v>
      </c>
      <c r="H88" s="29">
        <f>Assumptions!F55</f>
        <v>40</v>
      </c>
      <c r="I88" s="29">
        <f>Assumptions!G55</f>
        <v>39</v>
      </c>
      <c r="J88" s="29">
        <f>Assumptions!H55</f>
        <v>37</v>
      </c>
      <c r="K88" s="9" t="s">
        <v>100</v>
      </c>
      <c r="L88" s="9" t="s">
        <v>229</v>
      </c>
      <c r="M88" s="9" t="s">
        <v>89</v>
      </c>
      <c r="N88" s="28" t="s">
        <v>341</v>
      </c>
    </row>
    <row r="89" spans="1:14" x14ac:dyDescent="0.2">
      <c r="A89" s="1">
        <v>83</v>
      </c>
      <c r="B89" s="9" t="s">
        <v>329</v>
      </c>
      <c r="C89" s="9" t="s">
        <v>133</v>
      </c>
      <c r="D89" s="9" t="s">
        <v>134</v>
      </c>
      <c r="E89" s="27">
        <f>Assumptions!C56</f>
        <v>45</v>
      </c>
      <c r="F89" s="27">
        <f>Assumptions!D56</f>
        <v>43</v>
      </c>
      <c r="G89" s="27">
        <f>Assumptions!E56</f>
        <v>46</v>
      </c>
      <c r="H89" s="27">
        <f>Assumptions!F56</f>
        <v>50</v>
      </c>
      <c r="I89" s="27">
        <f>Assumptions!G56</f>
        <v>54</v>
      </c>
      <c r="J89" s="27">
        <f>Assumptions!H56</f>
        <v>56</v>
      </c>
      <c r="K89" s="9" t="s">
        <v>100</v>
      </c>
      <c r="L89" s="9" t="s">
        <v>229</v>
      </c>
      <c r="M89" s="9" t="s">
        <v>89</v>
      </c>
      <c r="N89" s="28" t="s">
        <v>342</v>
      </c>
    </row>
    <row r="90" spans="1:14" x14ac:dyDescent="0.2">
      <c r="A90" s="1">
        <v>84</v>
      </c>
      <c r="B90" s="9" t="s">
        <v>329</v>
      </c>
      <c r="C90" s="9" t="s">
        <v>174</v>
      </c>
      <c r="D90" s="9" t="s">
        <v>92</v>
      </c>
      <c r="E90" s="29">
        <f>Assumptions!C81</f>
        <v>200000</v>
      </c>
      <c r="F90" s="29">
        <f>Assumptions!D81</f>
        <v>220000</v>
      </c>
      <c r="G90" s="29">
        <f>Assumptions!E81</f>
        <v>240000</v>
      </c>
      <c r="H90" s="29">
        <f>Assumptions!F81</f>
        <v>260000</v>
      </c>
      <c r="I90" s="29">
        <f>Assumptions!G81</f>
        <v>280000</v>
      </c>
      <c r="J90" s="29">
        <f>Assumptions!H81</f>
        <v>300000</v>
      </c>
      <c r="K90" s="9" t="s">
        <v>100</v>
      </c>
      <c r="L90" s="9" t="s">
        <v>229</v>
      </c>
      <c r="M90" s="9" t="s">
        <v>343</v>
      </c>
      <c r="N90" s="28" t="s">
        <v>344</v>
      </c>
    </row>
    <row r="91" spans="1:14" x14ac:dyDescent="0.2">
      <c r="A91" s="1">
        <v>85</v>
      </c>
      <c r="B91" s="9" t="s">
        <v>329</v>
      </c>
      <c r="C91" s="9" t="s">
        <v>176</v>
      </c>
      <c r="D91" s="9" t="s">
        <v>92</v>
      </c>
      <c r="E91" s="29">
        <f>Assumptions!C82</f>
        <v>650000</v>
      </c>
      <c r="F91" s="29">
        <f>Assumptions!D82</f>
        <v>700000</v>
      </c>
      <c r="G91" s="29">
        <f>Assumptions!E82</f>
        <v>750000</v>
      </c>
      <c r="H91" s="29">
        <f>Assumptions!F82</f>
        <v>800000</v>
      </c>
      <c r="I91" s="29">
        <f>Assumptions!G82</f>
        <v>900000</v>
      </c>
      <c r="J91" s="29">
        <f>Assumptions!H82</f>
        <v>950000</v>
      </c>
      <c r="K91" s="9" t="s">
        <v>100</v>
      </c>
      <c r="L91" s="9" t="s">
        <v>229</v>
      </c>
      <c r="M91" s="9" t="s">
        <v>89</v>
      </c>
      <c r="N91" s="28" t="s">
        <v>345</v>
      </c>
    </row>
    <row r="92" spans="1:14" x14ac:dyDescent="0.2">
      <c r="A92" s="1">
        <v>86</v>
      </c>
      <c r="B92" s="9" t="s">
        <v>329</v>
      </c>
      <c r="C92" s="9" t="s">
        <v>177</v>
      </c>
      <c r="D92" s="9" t="s">
        <v>92</v>
      </c>
      <c r="E92" s="29">
        <f>Assumptions!C83</f>
        <v>300000</v>
      </c>
      <c r="F92" s="29">
        <f>Assumptions!D83</f>
        <v>325000</v>
      </c>
      <c r="G92" s="29">
        <f>Assumptions!E83</f>
        <v>350000</v>
      </c>
      <c r="H92" s="29">
        <f>Assumptions!F83</f>
        <v>375000</v>
      </c>
      <c r="I92" s="29">
        <f>Assumptions!G83</f>
        <v>425000</v>
      </c>
      <c r="J92" s="29">
        <f>Assumptions!H83</f>
        <v>450000</v>
      </c>
      <c r="K92" s="9" t="s">
        <v>100</v>
      </c>
      <c r="L92" s="9" t="s">
        <v>229</v>
      </c>
      <c r="M92" s="9" t="s">
        <v>89</v>
      </c>
      <c r="N92" s="28" t="s">
        <v>346</v>
      </c>
    </row>
    <row r="93" spans="1:14" x14ac:dyDescent="0.2">
      <c r="A93" s="56" t="s">
        <v>347</v>
      </c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</row>
    <row r="94" spans="1:14" x14ac:dyDescent="0.2">
      <c r="A94" s="1">
        <v>87</v>
      </c>
      <c r="B94" s="9" t="s">
        <v>348</v>
      </c>
      <c r="C94" s="9" t="s">
        <v>349</v>
      </c>
      <c r="D94" s="9" t="s">
        <v>24</v>
      </c>
      <c r="E94" s="38">
        <f t="shared" ref="E94:J94" si="14">IFERROR(E95/E49,"")</f>
        <v>0.10632069943560794</v>
      </c>
      <c r="F94" s="38">
        <f t="shared" si="14"/>
        <v>0.12423580403652304</v>
      </c>
      <c r="G94" s="38">
        <f t="shared" si="14"/>
        <v>7.5043508031540487E-2</v>
      </c>
      <c r="H94" s="38">
        <f t="shared" si="14"/>
        <v>9.0665203699245092E-2</v>
      </c>
      <c r="I94" s="38">
        <f t="shared" si="14"/>
        <v>0.11115092404470113</v>
      </c>
      <c r="J94" s="38">
        <f t="shared" si="14"/>
        <v>0.1398211332989524</v>
      </c>
      <c r="K94" s="9" t="s">
        <v>200</v>
      </c>
      <c r="L94" s="9" t="s">
        <v>209</v>
      </c>
      <c r="M94" s="9" t="s">
        <v>350</v>
      </c>
      <c r="N94" s="28" t="s">
        <v>351</v>
      </c>
    </row>
    <row r="95" spans="1:14" x14ac:dyDescent="0.2">
      <c r="A95" s="32">
        <v>88</v>
      </c>
      <c r="B95" s="33" t="s">
        <v>348</v>
      </c>
      <c r="C95" s="34" t="s">
        <v>352</v>
      </c>
      <c r="D95" s="33" t="s">
        <v>92</v>
      </c>
      <c r="E95" s="35">
        <f t="shared" ref="E95:J95" si="15">E49-E96</f>
        <v>899263.74461538345</v>
      </c>
      <c r="F95" s="35">
        <f t="shared" si="15"/>
        <v>1112461.9187692292</v>
      </c>
      <c r="G95" s="35">
        <f t="shared" si="15"/>
        <v>733312.5169230774</v>
      </c>
      <c r="H95" s="35">
        <f t="shared" si="15"/>
        <v>943447.46399999969</v>
      </c>
      <c r="I95" s="35">
        <f t="shared" si="15"/>
        <v>1246049.3599999994</v>
      </c>
      <c r="J95" s="35">
        <f t="shared" si="15"/>
        <v>1682309</v>
      </c>
      <c r="K95" s="33" t="s">
        <v>200</v>
      </c>
      <c r="L95" s="33" t="s">
        <v>209</v>
      </c>
      <c r="M95" s="33" t="s">
        <v>353</v>
      </c>
      <c r="N95" s="36" t="s">
        <v>354</v>
      </c>
    </row>
    <row r="96" spans="1:14" ht="45" x14ac:dyDescent="0.2">
      <c r="A96" s="32">
        <v>89</v>
      </c>
      <c r="B96" s="33" t="s">
        <v>348</v>
      </c>
      <c r="C96" s="33" t="s">
        <v>355</v>
      </c>
      <c r="D96" s="33" t="s">
        <v>92</v>
      </c>
      <c r="E96" s="35">
        <f t="shared" ref="E96:J96" si="16">ROUND(E55+E58+E59+E60+E68+(E69*90000)+E70+E72+E75+E76+E64+(E49*0.22),0)</f>
        <v>7558767</v>
      </c>
      <c r="F96" s="35">
        <f t="shared" si="16"/>
        <v>7841977</v>
      </c>
      <c r="G96" s="35">
        <f t="shared" si="16"/>
        <v>9038519</v>
      </c>
      <c r="H96" s="35">
        <f t="shared" si="16"/>
        <v>9462391</v>
      </c>
      <c r="I96" s="35">
        <f t="shared" si="16"/>
        <v>9964378</v>
      </c>
      <c r="J96" s="35">
        <f t="shared" si="16"/>
        <v>10349556</v>
      </c>
      <c r="K96" s="33" t="s">
        <v>200</v>
      </c>
      <c r="L96" s="33" t="s">
        <v>209</v>
      </c>
      <c r="M96" s="33" t="s">
        <v>356</v>
      </c>
      <c r="N96" s="36" t="s">
        <v>357</v>
      </c>
    </row>
    <row r="97" spans="1:14" x14ac:dyDescent="0.2">
      <c r="A97" s="1">
        <v>90</v>
      </c>
      <c r="B97" s="9" t="s">
        <v>348</v>
      </c>
      <c r="C97" s="9" t="s">
        <v>358</v>
      </c>
      <c r="D97" s="9" t="s">
        <v>24</v>
      </c>
      <c r="E97" s="38">
        <f t="shared" ref="E97:J97" si="17">IFERROR(E96/E49,"")</f>
        <v>0.89367930056439204</v>
      </c>
      <c r="F97" s="38">
        <f t="shared" si="17"/>
        <v>0.87576419596347699</v>
      </c>
      <c r="G97" s="38">
        <f t="shared" si="17"/>
        <v>0.92495649196845953</v>
      </c>
      <c r="H97" s="38">
        <f t="shared" si="17"/>
        <v>0.90933479630075487</v>
      </c>
      <c r="I97" s="38">
        <f t="shared" si="17"/>
        <v>0.88884907595529883</v>
      </c>
      <c r="J97" s="38">
        <f t="shared" si="17"/>
        <v>0.8601788667010476</v>
      </c>
      <c r="K97" s="9" t="s">
        <v>200</v>
      </c>
      <c r="L97" s="9" t="s">
        <v>209</v>
      </c>
      <c r="M97" s="9" t="s">
        <v>359</v>
      </c>
      <c r="N97" s="28" t="s">
        <v>360</v>
      </c>
    </row>
    <row r="98" spans="1:14" x14ac:dyDescent="0.2">
      <c r="A98" s="1">
        <v>91</v>
      </c>
      <c r="B98" s="9" t="s">
        <v>348</v>
      </c>
      <c r="C98" s="9" t="s">
        <v>179</v>
      </c>
      <c r="D98" s="9" t="s">
        <v>180</v>
      </c>
      <c r="E98" s="39">
        <f>Assumptions!C84</f>
        <v>3.2</v>
      </c>
      <c r="F98" s="39">
        <f>Assumptions!D84</f>
        <v>3.2</v>
      </c>
      <c r="G98" s="39">
        <f>Assumptions!E84</f>
        <v>3.2</v>
      </c>
      <c r="H98" s="39">
        <f>Assumptions!F84</f>
        <v>3.2</v>
      </c>
      <c r="I98" s="39">
        <f>Assumptions!G84</f>
        <v>3.2</v>
      </c>
      <c r="J98" s="39">
        <f>Assumptions!H84</f>
        <v>3.2</v>
      </c>
      <c r="K98" s="9" t="s">
        <v>26</v>
      </c>
      <c r="L98" s="9" t="s">
        <v>209</v>
      </c>
      <c r="M98" s="9" t="s">
        <v>331</v>
      </c>
      <c r="N98" s="28" t="s">
        <v>361</v>
      </c>
    </row>
    <row r="99" spans="1:14" x14ac:dyDescent="0.2">
      <c r="A99" s="32">
        <v>92</v>
      </c>
      <c r="B99" s="33" t="s">
        <v>348</v>
      </c>
      <c r="C99" s="34" t="s">
        <v>362</v>
      </c>
      <c r="D99" s="33" t="s">
        <v>92</v>
      </c>
      <c r="E99" s="35">
        <f t="shared" ref="E99:J99" si="18">E49*E98</f>
        <v>27065698.382769227</v>
      </c>
      <c r="F99" s="35">
        <f t="shared" si="18"/>
        <v>28654204.540061533</v>
      </c>
      <c r="G99" s="35">
        <f t="shared" si="18"/>
        <v>31269860.854153849</v>
      </c>
      <c r="H99" s="35">
        <f t="shared" si="18"/>
        <v>33298683.084800001</v>
      </c>
      <c r="I99" s="35">
        <f t="shared" si="18"/>
        <v>35873367.552000001</v>
      </c>
      <c r="J99" s="35">
        <f t="shared" si="18"/>
        <v>38501968</v>
      </c>
      <c r="K99" s="33" t="s">
        <v>200</v>
      </c>
      <c r="L99" s="33" t="s">
        <v>209</v>
      </c>
      <c r="M99" s="33" t="s">
        <v>363</v>
      </c>
      <c r="N99" s="36" t="s">
        <v>364</v>
      </c>
    </row>
  </sheetData>
  <mergeCells count="6">
    <mergeCell ref="A52:N52"/>
    <mergeCell ref="A66:N66"/>
    <mergeCell ref="A93:N93"/>
    <mergeCell ref="A27:N27"/>
    <mergeCell ref="A78:N78"/>
    <mergeCell ref="A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7"/>
  <sheetViews>
    <sheetView showGridLines="0" workbookViewId="0">
      <selection activeCell="J29" sqref="J29"/>
    </sheetView>
  </sheetViews>
  <sheetFormatPr baseColWidth="10" defaultColWidth="8.83203125" defaultRowHeight="15" x14ac:dyDescent="0.2"/>
  <cols>
    <col min="1" max="1" width="24" customWidth="1"/>
    <col min="2" max="3" width="18" customWidth="1"/>
    <col min="4" max="4" width="20" customWidth="1"/>
    <col min="5" max="5" width="3" customWidth="1"/>
    <col min="6" max="12" width="18" customWidth="1"/>
  </cols>
  <sheetData>
    <row r="1" spans="1:12" ht="24" x14ac:dyDescent="0.2">
      <c r="A1" s="53" t="s">
        <v>365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x14ac:dyDescent="0.2">
      <c r="A2" s="51" t="s">
        <v>366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4" spans="1:12" x14ac:dyDescent="0.2">
      <c r="A4" s="49" t="s">
        <v>367</v>
      </c>
      <c r="B4" s="50"/>
      <c r="C4" s="50"/>
      <c r="D4" s="49" t="s">
        <v>368</v>
      </c>
      <c r="E4" s="50"/>
      <c r="F4" s="50"/>
      <c r="G4" s="49" t="s">
        <v>369</v>
      </c>
      <c r="H4" s="50"/>
      <c r="I4" s="50"/>
      <c r="J4" s="49" t="s">
        <v>370</v>
      </c>
      <c r="K4" s="50"/>
      <c r="L4" s="50"/>
    </row>
    <row r="5" spans="1:12" x14ac:dyDescent="0.2">
      <c r="A5" s="64">
        <f>Master_Model!J49</f>
        <v>12031865</v>
      </c>
      <c r="B5" s="65"/>
      <c r="C5" s="65"/>
      <c r="D5" s="64">
        <f>Master_Model!J95</f>
        <v>1682309</v>
      </c>
      <c r="E5" s="65"/>
      <c r="F5" s="65"/>
      <c r="G5" s="64">
        <f>Master_Model!J99</f>
        <v>38501968</v>
      </c>
      <c r="H5" s="65"/>
      <c r="I5" s="65"/>
      <c r="J5" s="64">
        <f>Master_Model!J3</f>
        <v>7625</v>
      </c>
      <c r="K5" s="65"/>
      <c r="L5" s="65"/>
    </row>
    <row r="6" spans="1:12" x14ac:dyDescent="0.2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</row>
    <row r="8" spans="1:12" x14ac:dyDescent="0.2">
      <c r="A8" s="40" t="s">
        <v>371</v>
      </c>
      <c r="B8" s="40" t="s">
        <v>372</v>
      </c>
      <c r="C8" s="40" t="s">
        <v>373</v>
      </c>
      <c r="D8" s="40" t="s">
        <v>374</v>
      </c>
      <c r="F8" s="57" t="s">
        <v>375</v>
      </c>
      <c r="G8" s="50"/>
      <c r="H8" s="50"/>
      <c r="I8" s="50"/>
      <c r="J8" s="50"/>
      <c r="K8" s="50"/>
      <c r="L8" s="50"/>
    </row>
    <row r="9" spans="1:12" ht="50" customHeight="1" x14ac:dyDescent="0.2">
      <c r="A9" s="9" t="s">
        <v>376</v>
      </c>
      <c r="B9" s="11">
        <v>0.02</v>
      </c>
      <c r="C9" s="11">
        <v>0.04</v>
      </c>
      <c r="D9" s="11">
        <v>0.06</v>
      </c>
      <c r="F9" s="52" t="s">
        <v>377</v>
      </c>
      <c r="G9" s="50"/>
      <c r="H9" s="50"/>
      <c r="I9" s="50"/>
      <c r="J9" s="50"/>
      <c r="K9" s="50"/>
      <c r="L9" s="50"/>
    </row>
    <row r="10" spans="1:12" ht="24" customHeight="1" x14ac:dyDescent="0.2">
      <c r="A10" s="9" t="s">
        <v>378</v>
      </c>
      <c r="B10" s="11">
        <v>1.4999999999999999E-2</v>
      </c>
      <c r="C10" s="11">
        <v>2.5000000000000001E-2</v>
      </c>
      <c r="D10" s="11">
        <v>0.04</v>
      </c>
      <c r="F10" s="50"/>
      <c r="G10" s="50"/>
      <c r="H10" s="50"/>
      <c r="I10" s="50"/>
      <c r="J10" s="50"/>
      <c r="K10" s="50"/>
      <c r="L10" s="50"/>
    </row>
    <row r="11" spans="1:12" ht="24" customHeight="1" x14ac:dyDescent="0.2">
      <c r="A11" s="9" t="s">
        <v>379</v>
      </c>
      <c r="B11" s="11">
        <v>0.03</v>
      </c>
      <c r="C11" s="11">
        <v>0.05</v>
      </c>
      <c r="D11" s="11">
        <v>7.0000000000000007E-2</v>
      </c>
      <c r="F11" s="50"/>
      <c r="G11" s="50"/>
      <c r="H11" s="50"/>
      <c r="I11" s="50"/>
      <c r="J11" s="50"/>
      <c r="K11" s="50"/>
      <c r="L11" s="50"/>
    </row>
    <row r="12" spans="1:12" ht="24" customHeight="1" x14ac:dyDescent="0.2">
      <c r="A12" s="9" t="s">
        <v>380</v>
      </c>
      <c r="B12" s="11">
        <v>0.04</v>
      </c>
      <c r="C12" s="11">
        <v>0.08</v>
      </c>
      <c r="D12" s="11">
        <v>0.12</v>
      </c>
      <c r="F12" s="50"/>
      <c r="G12" s="50"/>
      <c r="H12" s="50"/>
      <c r="I12" s="50"/>
      <c r="J12" s="50"/>
      <c r="K12" s="50"/>
      <c r="L12" s="50"/>
    </row>
    <row r="13" spans="1:12" ht="50" customHeight="1" x14ac:dyDescent="0.2">
      <c r="A13" s="9" t="s">
        <v>381</v>
      </c>
      <c r="B13" s="11">
        <v>3.0000000000000001E-3</v>
      </c>
      <c r="C13" s="11">
        <v>6.0000000000000001E-3</v>
      </c>
      <c r="D13" s="11">
        <v>0.01</v>
      </c>
      <c r="F13" s="52" t="s">
        <v>382</v>
      </c>
      <c r="G13" s="50"/>
      <c r="H13" s="50"/>
      <c r="I13" s="50"/>
      <c r="J13" s="50"/>
      <c r="K13" s="50"/>
      <c r="L13" s="50"/>
    </row>
    <row r="14" spans="1:12" ht="24" customHeight="1" x14ac:dyDescent="0.2">
      <c r="F14" s="50"/>
      <c r="G14" s="50"/>
      <c r="H14" s="50"/>
      <c r="I14" s="50"/>
      <c r="J14" s="50"/>
      <c r="K14" s="50"/>
      <c r="L14" s="50"/>
    </row>
    <row r="15" spans="1:12" ht="24" customHeight="1" x14ac:dyDescent="0.2">
      <c r="F15" s="50"/>
      <c r="G15" s="50"/>
      <c r="H15" s="50"/>
      <c r="I15" s="50"/>
      <c r="J15" s="50"/>
      <c r="K15" s="50"/>
      <c r="L15" s="50"/>
    </row>
    <row r="16" spans="1:12" ht="24" customHeight="1" x14ac:dyDescent="0.2">
      <c r="A16" s="40" t="s">
        <v>371</v>
      </c>
      <c r="B16" s="40" t="s">
        <v>372</v>
      </c>
      <c r="C16" s="40" t="s">
        <v>373</v>
      </c>
      <c r="D16" s="40" t="s">
        <v>374</v>
      </c>
      <c r="F16" s="50"/>
      <c r="G16" s="50"/>
      <c r="H16" s="50"/>
      <c r="I16" s="50"/>
      <c r="J16" s="50"/>
      <c r="K16" s="50"/>
      <c r="L16" s="50"/>
    </row>
    <row r="17" spans="1:12" ht="50" customHeight="1" x14ac:dyDescent="0.2">
      <c r="A17" s="9" t="s">
        <v>383</v>
      </c>
      <c r="B17" s="63">
        <f>ROUND(Master_Model!J3*(1+B9),0)</f>
        <v>7778</v>
      </c>
      <c r="C17" s="63">
        <f>ROUND(Master_Model!J3*(1+C9),0)</f>
        <v>7930</v>
      </c>
      <c r="D17" s="63">
        <f>ROUND(Master_Model!J3*(1+D9),0)</f>
        <v>8083</v>
      </c>
      <c r="E17" s="59"/>
      <c r="F17" s="52" t="s">
        <v>384</v>
      </c>
      <c r="G17" s="50"/>
      <c r="H17" s="50"/>
      <c r="I17" s="50"/>
      <c r="J17" s="50"/>
      <c r="K17" s="50"/>
      <c r="L17" s="50"/>
    </row>
    <row r="18" spans="1:12" ht="24" customHeight="1" x14ac:dyDescent="0.2">
      <c r="A18" s="9" t="s">
        <v>385</v>
      </c>
      <c r="B18" s="61">
        <f>Master_Model!J22*(1+B10)</f>
        <v>26.603149999999999</v>
      </c>
      <c r="C18" s="61">
        <f>Master_Model!J22*(1+C10)</f>
        <v>26.86525</v>
      </c>
      <c r="D18" s="61">
        <f>Master_Model!J22*(1+D10)</f>
        <v>27.258400000000002</v>
      </c>
      <c r="F18" s="50"/>
      <c r="G18" s="50"/>
      <c r="H18" s="50"/>
      <c r="I18" s="50"/>
      <c r="J18" s="50"/>
      <c r="K18" s="50"/>
      <c r="L18" s="50"/>
    </row>
    <row r="19" spans="1:12" ht="24" customHeight="1" x14ac:dyDescent="0.2">
      <c r="A19" s="9" t="s">
        <v>386</v>
      </c>
      <c r="B19" s="61">
        <f>Master_Model!J41*(1+B11)</f>
        <v>21.321000000000002</v>
      </c>
      <c r="C19" s="61">
        <f>Master_Model!J41*(1+C11)</f>
        <v>21.734999999999999</v>
      </c>
      <c r="D19" s="61">
        <f>Master_Model!J41*(1+D11)</f>
        <v>22.149000000000001</v>
      </c>
      <c r="F19" s="50"/>
      <c r="G19" s="50"/>
      <c r="H19" s="50"/>
      <c r="I19" s="50"/>
      <c r="J19" s="50"/>
      <c r="K19" s="50"/>
      <c r="L19" s="50"/>
    </row>
    <row r="20" spans="1:12" ht="24" customHeight="1" x14ac:dyDescent="0.2">
      <c r="A20" s="9" t="s">
        <v>387</v>
      </c>
      <c r="B20" s="61">
        <f>Master_Model!J42*(1+B12)</f>
        <v>3069144</v>
      </c>
      <c r="C20" s="61">
        <f>Master_Model!J42*(1+C12)</f>
        <v>3187188</v>
      </c>
      <c r="D20" s="61">
        <f>Master_Model!J42*(1+D12)</f>
        <v>3305232.0000000005</v>
      </c>
      <c r="F20" s="50"/>
      <c r="G20" s="50"/>
      <c r="H20" s="50"/>
      <c r="I20" s="50"/>
      <c r="J20" s="50"/>
      <c r="K20" s="50"/>
      <c r="L20" s="50"/>
    </row>
    <row r="21" spans="1:12" x14ac:dyDescent="0.2">
      <c r="A21" s="9" t="s">
        <v>388</v>
      </c>
      <c r="B21" s="61">
        <f>(B17*Master_Model!J4*B18)-Master_Model!J28</f>
        <v>254449.82519999985</v>
      </c>
      <c r="C21" s="61">
        <f>(C17*Master_Model!J4*C18)-Master_Model!J28</f>
        <v>474846.5700000003</v>
      </c>
      <c r="D21" s="61">
        <f>(D17*Master_Model!J4*D18)-Master_Model!J28</f>
        <v>737222.29920000024</v>
      </c>
    </row>
    <row r="22" spans="1:12" x14ac:dyDescent="0.2">
      <c r="A22" s="9" t="s">
        <v>389</v>
      </c>
      <c r="B22" s="61">
        <f>(B17*Master_Model!J4*B19)-(Master_Model!J5*Master_Model!J41)</f>
        <v>287900.56799999997</v>
      </c>
      <c r="C22" s="61">
        <f>(C17*Master_Model!J4*C19)-(Master_Model!J5*Master_Model!J41)</f>
        <v>522757.79999999981</v>
      </c>
      <c r="D22" s="61">
        <f>(D17*Master_Model!J4*D19)-(Master_Model!J5*Master_Model!J41)</f>
        <v>762943.21200000029</v>
      </c>
    </row>
    <row r="23" spans="1:12" x14ac:dyDescent="0.2">
      <c r="A23" s="9" t="s">
        <v>390</v>
      </c>
      <c r="B23" s="61">
        <f>B20-Master_Model!J42</f>
        <v>118044</v>
      </c>
      <c r="C23" s="61">
        <f>C20-Master_Model!J42</f>
        <v>236088</v>
      </c>
      <c r="D23" s="61">
        <f>D20-Master_Model!J42</f>
        <v>354132.00000000047</v>
      </c>
    </row>
    <row r="24" spans="1:12" x14ac:dyDescent="0.2">
      <c r="A24" s="8" t="s">
        <v>391</v>
      </c>
      <c r="B24" s="61">
        <f>SUM(B21:B23)</f>
        <v>660394.39319999982</v>
      </c>
      <c r="C24" s="61">
        <f>SUM(C21:C23)</f>
        <v>1233692.3700000001</v>
      </c>
      <c r="D24" s="61">
        <f>SUM(D21:D23)</f>
        <v>1854297.511200001</v>
      </c>
    </row>
    <row r="25" spans="1:12" x14ac:dyDescent="0.2">
      <c r="A25" s="8" t="s">
        <v>392</v>
      </c>
      <c r="B25" s="61">
        <f>Master_Model!J49+B24</f>
        <v>12692259.393199999</v>
      </c>
      <c r="C25" s="61">
        <f>Master_Model!J49+C24</f>
        <v>13265557.370000001</v>
      </c>
      <c r="D25" s="61">
        <f>Master_Model!J49+D24</f>
        <v>13886162.511200001</v>
      </c>
    </row>
    <row r="26" spans="1:12" x14ac:dyDescent="0.2">
      <c r="A26" s="8" t="s">
        <v>393</v>
      </c>
      <c r="B26" s="61">
        <f>B25*(Master_Model!J94+B13)</f>
        <v>1812722.8706610978</v>
      </c>
      <c r="C26" s="61">
        <f>C25*(Master_Model!J94+C13)</f>
        <v>1934398.6095356706</v>
      </c>
      <c r="D26" s="61">
        <f>D25*(Master_Model!J94+D13)</f>
        <v>2080440.6046014111</v>
      </c>
    </row>
    <row r="27" spans="1:12" x14ac:dyDescent="0.2">
      <c r="A27" s="8" t="s">
        <v>394</v>
      </c>
      <c r="B27" s="61">
        <f>B25*Master_Model!J98</f>
        <v>40615230.058239996</v>
      </c>
      <c r="C27" s="61">
        <f>C25*Master_Model!J98</f>
        <v>42449783.584000006</v>
      </c>
      <c r="D27" s="61">
        <f>D25*Master_Model!J98</f>
        <v>44435720.035840005</v>
      </c>
    </row>
  </sheetData>
  <mergeCells count="14">
    <mergeCell ref="F17:L20"/>
    <mergeCell ref="J4:L4"/>
    <mergeCell ref="A4:C4"/>
    <mergeCell ref="A1:L1"/>
    <mergeCell ref="D4:F4"/>
    <mergeCell ref="F13:L16"/>
    <mergeCell ref="J5:L6"/>
    <mergeCell ref="G4:I4"/>
    <mergeCell ref="A2:L2"/>
    <mergeCell ref="F9:L12"/>
    <mergeCell ref="F8:L8"/>
    <mergeCell ref="D5:F6"/>
    <mergeCell ref="A5:C6"/>
    <mergeCell ref="G5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2"/>
  <sheetViews>
    <sheetView workbookViewId="0">
      <selection activeCell="F23" sqref="F23"/>
    </sheetView>
  </sheetViews>
  <sheetFormatPr baseColWidth="10" defaultColWidth="8.83203125" defaultRowHeight="15" x14ac:dyDescent="0.2"/>
  <cols>
    <col min="1" max="1" width="36" customWidth="1"/>
    <col min="2" max="2" width="16" customWidth="1"/>
    <col min="3" max="9" width="12" customWidth="1"/>
    <col min="10" max="10" width="44" customWidth="1"/>
    <col min="11" max="11" width="16" customWidth="1"/>
  </cols>
  <sheetData>
    <row r="1" spans="1:11" x14ac:dyDescent="0.2">
      <c r="A1" s="40" t="s">
        <v>401</v>
      </c>
      <c r="B1" s="40" t="s">
        <v>11</v>
      </c>
      <c r="C1" s="40" t="s">
        <v>13</v>
      </c>
      <c r="D1" s="40" t="s">
        <v>14</v>
      </c>
      <c r="E1" s="40" t="s">
        <v>15</v>
      </c>
      <c r="F1" s="40" t="s">
        <v>16</v>
      </c>
      <c r="G1" s="40" t="s">
        <v>17</v>
      </c>
      <c r="H1" s="40" t="s">
        <v>18</v>
      </c>
      <c r="I1" s="40" t="s">
        <v>19</v>
      </c>
      <c r="J1" s="40" t="s">
        <v>20</v>
      </c>
      <c r="K1" s="40" t="s">
        <v>21</v>
      </c>
    </row>
    <row r="2" spans="1:11" x14ac:dyDescent="0.2">
      <c r="A2" s="41" t="s">
        <v>23</v>
      </c>
      <c r="B2" s="41" t="s">
        <v>22</v>
      </c>
      <c r="C2" s="10"/>
      <c r="D2" s="10"/>
      <c r="E2" s="10"/>
      <c r="F2" s="10"/>
      <c r="G2" s="10"/>
      <c r="H2" s="42">
        <v>0.03</v>
      </c>
      <c r="I2" s="41" t="s">
        <v>24</v>
      </c>
      <c r="J2" s="41" t="s">
        <v>25</v>
      </c>
      <c r="K2" s="41" t="s">
        <v>26</v>
      </c>
    </row>
    <row r="3" spans="1:11" x14ac:dyDescent="0.2">
      <c r="A3" s="41" t="s">
        <v>27</v>
      </c>
      <c r="B3" s="41" t="s">
        <v>22</v>
      </c>
      <c r="C3" s="10"/>
      <c r="D3" s="10"/>
      <c r="E3" s="10"/>
      <c r="F3" s="10"/>
      <c r="G3" s="10"/>
      <c r="H3" s="42">
        <v>3.2000000000000001E-2</v>
      </c>
      <c r="I3" s="41" t="s">
        <v>24</v>
      </c>
      <c r="J3" s="41" t="s">
        <v>25</v>
      </c>
      <c r="K3" s="41" t="s">
        <v>26</v>
      </c>
    </row>
    <row r="4" spans="1:11" x14ac:dyDescent="0.2">
      <c r="A4" s="41" t="s">
        <v>28</v>
      </c>
      <c r="B4" s="41" t="s">
        <v>22</v>
      </c>
      <c r="C4" s="10"/>
      <c r="D4" s="10"/>
      <c r="E4" s="10"/>
      <c r="F4" s="10"/>
      <c r="G4" s="10"/>
      <c r="H4" s="42">
        <v>9.2999999999999999E-2</v>
      </c>
      <c r="I4" s="41" t="s">
        <v>24</v>
      </c>
      <c r="J4" s="41" t="s">
        <v>25</v>
      </c>
      <c r="K4" s="41" t="s">
        <v>26</v>
      </c>
    </row>
    <row r="5" spans="1:11" x14ac:dyDescent="0.2">
      <c r="A5" s="41" t="s">
        <v>29</v>
      </c>
      <c r="B5" s="41" t="s">
        <v>22</v>
      </c>
      <c r="C5" s="10"/>
      <c r="D5" s="10"/>
      <c r="E5" s="10"/>
      <c r="F5" s="10"/>
      <c r="G5" s="10"/>
      <c r="H5" s="42">
        <v>3.2000000000000001E-2</v>
      </c>
      <c r="I5" s="41" t="s">
        <v>24</v>
      </c>
      <c r="J5" s="41" t="s">
        <v>25</v>
      </c>
      <c r="K5" s="41" t="s">
        <v>26</v>
      </c>
    </row>
    <row r="6" spans="1:11" x14ac:dyDescent="0.2">
      <c r="A6" s="41" t="s">
        <v>30</v>
      </c>
      <c r="B6" s="41" t="s">
        <v>22</v>
      </c>
      <c r="C6" s="10"/>
      <c r="D6" s="10"/>
      <c r="E6" s="10"/>
      <c r="F6" s="10"/>
      <c r="G6" s="10"/>
      <c r="H6" s="42">
        <v>4.3999999999999997E-2</v>
      </c>
      <c r="I6" s="41" t="s">
        <v>24</v>
      </c>
      <c r="J6" s="41" t="s">
        <v>25</v>
      </c>
      <c r="K6" s="41" t="s">
        <v>26</v>
      </c>
    </row>
    <row r="7" spans="1:11" x14ac:dyDescent="0.2">
      <c r="A7" s="41" t="s">
        <v>31</v>
      </c>
      <c r="B7" s="41" t="s">
        <v>22</v>
      </c>
      <c r="C7" s="10"/>
      <c r="D7" s="10"/>
      <c r="E7" s="10"/>
      <c r="F7" s="10"/>
      <c r="G7" s="10"/>
      <c r="H7" s="42">
        <v>0.03</v>
      </c>
      <c r="I7" s="41" t="s">
        <v>24</v>
      </c>
      <c r="J7" s="41" t="s">
        <v>25</v>
      </c>
      <c r="K7" s="41" t="s">
        <v>26</v>
      </c>
    </row>
    <row r="8" spans="1:11" x14ac:dyDescent="0.2">
      <c r="A8" s="41" t="s">
        <v>32</v>
      </c>
      <c r="B8" s="41" t="s">
        <v>22</v>
      </c>
      <c r="C8" s="10"/>
      <c r="D8" s="10"/>
      <c r="E8" s="10"/>
      <c r="F8" s="10"/>
      <c r="G8" s="10"/>
      <c r="H8" s="42">
        <v>4.2999999999999997E-2</v>
      </c>
      <c r="I8" s="41" t="s">
        <v>24</v>
      </c>
      <c r="J8" s="41" t="s">
        <v>25</v>
      </c>
      <c r="K8" s="41" t="s">
        <v>26</v>
      </c>
    </row>
    <row r="9" spans="1:11" x14ac:dyDescent="0.2">
      <c r="A9" s="41" t="s">
        <v>33</v>
      </c>
      <c r="B9" s="41" t="s">
        <v>22</v>
      </c>
      <c r="C9" s="10"/>
      <c r="D9" s="10"/>
      <c r="E9" s="10"/>
      <c r="F9" s="10"/>
      <c r="G9" s="10"/>
      <c r="H9" s="42">
        <v>0.08</v>
      </c>
      <c r="I9" s="41" t="s">
        <v>24</v>
      </c>
      <c r="J9" s="41" t="s">
        <v>25</v>
      </c>
      <c r="K9" s="41" t="s">
        <v>26</v>
      </c>
    </row>
    <row r="10" spans="1:11" x14ac:dyDescent="0.2">
      <c r="A10" s="41" t="s">
        <v>35</v>
      </c>
      <c r="B10" s="41" t="s">
        <v>34</v>
      </c>
      <c r="C10" s="43">
        <v>6992</v>
      </c>
      <c r="D10" s="43">
        <v>6953</v>
      </c>
      <c r="E10" s="43">
        <v>7249</v>
      </c>
      <c r="F10" s="43">
        <v>7262</v>
      </c>
      <c r="G10" s="43">
        <v>7403</v>
      </c>
      <c r="H10" s="25"/>
      <c r="I10" s="41" t="s">
        <v>36</v>
      </c>
      <c r="J10" s="41" t="s">
        <v>37</v>
      </c>
      <c r="K10" s="41" t="s">
        <v>38</v>
      </c>
    </row>
    <row r="11" spans="1:11" x14ac:dyDescent="0.2">
      <c r="A11" s="41" t="s">
        <v>39</v>
      </c>
      <c r="B11" s="41" t="s">
        <v>34</v>
      </c>
      <c r="C11" s="43">
        <v>34</v>
      </c>
      <c r="D11" s="43">
        <v>36</v>
      </c>
      <c r="E11" s="43">
        <v>36</v>
      </c>
      <c r="F11" s="43">
        <v>36</v>
      </c>
      <c r="G11" s="43">
        <v>36</v>
      </c>
      <c r="H11" s="43">
        <v>36</v>
      </c>
      <c r="I11" s="41" t="s">
        <v>40</v>
      </c>
      <c r="J11" s="41" t="s">
        <v>41</v>
      </c>
      <c r="K11" s="41" t="s">
        <v>42</v>
      </c>
    </row>
    <row r="12" spans="1:11" x14ac:dyDescent="0.2">
      <c r="A12" s="41" t="s">
        <v>44</v>
      </c>
      <c r="B12" s="41" t="s">
        <v>43</v>
      </c>
      <c r="C12" s="43">
        <v>12920</v>
      </c>
      <c r="D12" s="43">
        <v>12920</v>
      </c>
      <c r="E12" s="43">
        <v>12920</v>
      </c>
      <c r="F12" s="43">
        <v>12920</v>
      </c>
      <c r="G12" s="43">
        <v>12920</v>
      </c>
      <c r="H12" s="43">
        <v>12920</v>
      </c>
      <c r="I12" s="41" t="s">
        <v>45</v>
      </c>
      <c r="J12" s="41" t="s">
        <v>46</v>
      </c>
      <c r="K12" s="41" t="s">
        <v>47</v>
      </c>
    </row>
    <row r="13" spans="1:11" x14ac:dyDescent="0.2">
      <c r="A13" s="41" t="s">
        <v>48</v>
      </c>
      <c r="B13" s="41" t="s">
        <v>43</v>
      </c>
      <c r="C13" s="43">
        <v>14000</v>
      </c>
      <c r="D13" s="43">
        <v>14000</v>
      </c>
      <c r="E13" s="43">
        <v>14000</v>
      </c>
      <c r="F13" s="43">
        <v>14000</v>
      </c>
      <c r="G13" s="43">
        <v>14000</v>
      </c>
      <c r="H13" s="43">
        <v>14000</v>
      </c>
      <c r="I13" s="41" t="s">
        <v>45</v>
      </c>
      <c r="J13" s="41" t="s">
        <v>49</v>
      </c>
      <c r="K13" s="41" t="s">
        <v>42</v>
      </c>
    </row>
    <row r="14" spans="1:11" x14ac:dyDescent="0.2">
      <c r="A14" s="41" t="s">
        <v>51</v>
      </c>
      <c r="B14" s="41" t="s">
        <v>50</v>
      </c>
      <c r="C14" s="43">
        <v>23</v>
      </c>
      <c r="D14" s="43">
        <v>23</v>
      </c>
      <c r="E14" s="43">
        <v>26</v>
      </c>
      <c r="F14" s="43">
        <v>25</v>
      </c>
      <c r="G14" s="43">
        <v>25</v>
      </c>
      <c r="H14" s="43">
        <v>25</v>
      </c>
      <c r="I14" s="41" t="s">
        <v>52</v>
      </c>
      <c r="J14" s="41" t="s">
        <v>53</v>
      </c>
      <c r="K14" s="41" t="s">
        <v>42</v>
      </c>
    </row>
    <row r="15" spans="1:11" x14ac:dyDescent="0.2">
      <c r="A15" s="41" t="s">
        <v>54</v>
      </c>
      <c r="B15" s="41" t="s">
        <v>50</v>
      </c>
      <c r="C15" s="43">
        <v>11</v>
      </c>
      <c r="D15" s="43">
        <v>12</v>
      </c>
      <c r="E15" s="43">
        <v>12</v>
      </c>
      <c r="F15" s="43">
        <v>9</v>
      </c>
      <c r="G15" s="43">
        <v>10</v>
      </c>
      <c r="H15" s="43">
        <v>10</v>
      </c>
      <c r="I15" s="41" t="s">
        <v>40</v>
      </c>
      <c r="J15" s="41" t="s">
        <v>53</v>
      </c>
      <c r="K15" s="41" t="s">
        <v>42</v>
      </c>
    </row>
    <row r="16" spans="1:11" x14ac:dyDescent="0.2">
      <c r="A16" s="41" t="s">
        <v>55</v>
      </c>
      <c r="B16" s="41" t="s">
        <v>50</v>
      </c>
      <c r="C16" s="43">
        <v>11</v>
      </c>
      <c r="D16" s="43">
        <v>11</v>
      </c>
      <c r="E16" s="43">
        <v>12</v>
      </c>
      <c r="F16" s="43">
        <v>14</v>
      </c>
      <c r="G16" s="43">
        <v>10</v>
      </c>
      <c r="H16" s="43">
        <v>11</v>
      </c>
      <c r="I16" s="41" t="s">
        <v>40</v>
      </c>
      <c r="J16" s="41" t="s">
        <v>53</v>
      </c>
      <c r="K16" s="41" t="s">
        <v>38</v>
      </c>
    </row>
    <row r="17" spans="1:11" x14ac:dyDescent="0.2">
      <c r="A17" s="41" t="s">
        <v>56</v>
      </c>
      <c r="B17" s="41" t="s">
        <v>50</v>
      </c>
      <c r="C17" s="43">
        <v>1</v>
      </c>
      <c r="D17" s="43">
        <v>1</v>
      </c>
      <c r="E17" s="43">
        <v>2</v>
      </c>
      <c r="F17" s="43">
        <v>2</v>
      </c>
      <c r="G17" s="43">
        <v>5</v>
      </c>
      <c r="H17" s="43">
        <v>4</v>
      </c>
      <c r="I17" s="41" t="s">
        <v>40</v>
      </c>
      <c r="J17" s="41" t="s">
        <v>53</v>
      </c>
      <c r="K17" s="41" t="s">
        <v>38</v>
      </c>
    </row>
    <row r="18" spans="1:11" x14ac:dyDescent="0.2">
      <c r="A18" s="41" t="s">
        <v>57</v>
      </c>
      <c r="B18" s="41" t="s">
        <v>50</v>
      </c>
      <c r="C18" s="43">
        <v>24</v>
      </c>
      <c r="D18" s="43">
        <v>21</v>
      </c>
      <c r="E18" s="43">
        <v>18</v>
      </c>
      <c r="F18" s="43">
        <v>20</v>
      </c>
      <c r="G18" s="43">
        <v>22</v>
      </c>
      <c r="H18" s="43">
        <v>22</v>
      </c>
      <c r="I18" s="41" t="s">
        <v>58</v>
      </c>
      <c r="J18" s="41" t="s">
        <v>53</v>
      </c>
      <c r="K18" s="41" t="s">
        <v>42</v>
      </c>
    </row>
    <row r="19" spans="1:11" x14ac:dyDescent="0.2">
      <c r="A19" s="41" t="s">
        <v>60</v>
      </c>
      <c r="B19" s="41" t="s">
        <v>59</v>
      </c>
      <c r="C19" s="43">
        <v>13</v>
      </c>
      <c r="D19" s="43">
        <v>15</v>
      </c>
      <c r="E19" s="43">
        <v>16</v>
      </c>
      <c r="F19" s="43">
        <v>23</v>
      </c>
      <c r="G19" s="43">
        <v>28</v>
      </c>
      <c r="H19" s="43">
        <v>30</v>
      </c>
      <c r="I19" s="41" t="s">
        <v>61</v>
      </c>
      <c r="J19" s="41" t="s">
        <v>62</v>
      </c>
      <c r="K19" s="41" t="s">
        <v>38</v>
      </c>
    </row>
    <row r="20" spans="1:11" x14ac:dyDescent="0.2">
      <c r="A20" s="41" t="s">
        <v>63</v>
      </c>
      <c r="B20" s="41" t="s">
        <v>59</v>
      </c>
      <c r="C20" s="43">
        <v>7</v>
      </c>
      <c r="D20" s="43">
        <v>6</v>
      </c>
      <c r="E20" s="43">
        <v>10</v>
      </c>
      <c r="F20" s="43">
        <v>11</v>
      </c>
      <c r="G20" s="43">
        <v>5</v>
      </c>
      <c r="H20" s="43">
        <v>6</v>
      </c>
      <c r="I20" s="41" t="s">
        <v>64</v>
      </c>
      <c r="J20" s="41" t="s">
        <v>62</v>
      </c>
      <c r="K20" s="41" t="s">
        <v>38</v>
      </c>
    </row>
    <row r="21" spans="1:11" x14ac:dyDescent="0.2">
      <c r="A21" s="41" t="s">
        <v>65</v>
      </c>
      <c r="B21" s="41" t="s">
        <v>59</v>
      </c>
      <c r="C21" s="43">
        <v>6</v>
      </c>
      <c r="D21" s="43">
        <v>6</v>
      </c>
      <c r="E21" s="43">
        <v>7</v>
      </c>
      <c r="F21" s="43">
        <v>7</v>
      </c>
      <c r="G21" s="43">
        <v>7</v>
      </c>
      <c r="H21" s="43">
        <v>8</v>
      </c>
      <c r="I21" s="41" t="s">
        <v>66</v>
      </c>
      <c r="J21" s="41" t="s">
        <v>62</v>
      </c>
      <c r="K21" s="41" t="s">
        <v>38</v>
      </c>
    </row>
    <row r="22" spans="1:11" x14ac:dyDescent="0.2">
      <c r="A22" s="41" t="s">
        <v>68</v>
      </c>
      <c r="B22" s="41" t="s">
        <v>67</v>
      </c>
      <c r="C22" s="44">
        <v>476</v>
      </c>
      <c r="D22" s="44">
        <v>540</v>
      </c>
      <c r="E22" s="44">
        <v>540</v>
      </c>
      <c r="F22" s="44">
        <v>560</v>
      </c>
      <c r="G22" s="44">
        <v>614</v>
      </c>
      <c r="H22" s="45"/>
      <c r="I22" s="41" t="s">
        <v>69</v>
      </c>
      <c r="J22" s="41" t="s">
        <v>70</v>
      </c>
      <c r="K22" s="41" t="s">
        <v>38</v>
      </c>
    </row>
    <row r="23" spans="1:11" x14ac:dyDescent="0.2">
      <c r="A23" s="41" t="s">
        <v>71</v>
      </c>
      <c r="B23" s="41" t="s">
        <v>67</v>
      </c>
      <c r="C23" s="44">
        <v>19</v>
      </c>
      <c r="D23" s="44">
        <v>21</v>
      </c>
      <c r="E23" s="44">
        <v>20</v>
      </c>
      <c r="F23" s="44">
        <v>22</v>
      </c>
      <c r="G23" s="44">
        <v>23</v>
      </c>
      <c r="H23" s="45"/>
      <c r="I23" s="41" t="s">
        <v>72</v>
      </c>
      <c r="J23" s="41" t="s">
        <v>70</v>
      </c>
      <c r="K23" s="41" t="s">
        <v>73</v>
      </c>
    </row>
    <row r="24" spans="1:11" x14ac:dyDescent="0.2">
      <c r="A24" s="41" t="s">
        <v>74</v>
      </c>
      <c r="B24" s="41" t="s">
        <v>67</v>
      </c>
      <c r="C24" s="45"/>
      <c r="D24" s="45"/>
      <c r="E24" s="45"/>
      <c r="F24" s="44">
        <v>27.5</v>
      </c>
      <c r="G24" s="44">
        <v>28.75</v>
      </c>
      <c r="H24" s="44">
        <v>29.75</v>
      </c>
      <c r="I24" s="41" t="s">
        <v>72</v>
      </c>
      <c r="J24" s="41" t="s">
        <v>75</v>
      </c>
      <c r="K24" s="41" t="s">
        <v>76</v>
      </c>
    </row>
    <row r="25" spans="1:11" x14ac:dyDescent="0.2">
      <c r="A25" s="41" t="s">
        <v>77</v>
      </c>
      <c r="B25" s="41" t="s">
        <v>67</v>
      </c>
      <c r="C25" s="45"/>
      <c r="D25" s="45"/>
      <c r="E25" s="45"/>
      <c r="F25" s="45"/>
      <c r="G25" s="44">
        <v>17</v>
      </c>
      <c r="H25" s="44">
        <v>17.5</v>
      </c>
      <c r="I25" s="41" t="s">
        <v>72</v>
      </c>
      <c r="J25" s="41" t="s">
        <v>78</v>
      </c>
      <c r="K25" s="41" t="s">
        <v>38</v>
      </c>
    </row>
    <row r="26" spans="1:11" x14ac:dyDescent="0.2">
      <c r="A26" s="41" t="s">
        <v>79</v>
      </c>
      <c r="B26" s="41" t="s">
        <v>67</v>
      </c>
      <c r="C26" s="45"/>
      <c r="D26" s="45"/>
      <c r="E26" s="45"/>
      <c r="F26" s="45"/>
      <c r="G26" s="44">
        <v>130</v>
      </c>
      <c r="H26" s="44">
        <v>135</v>
      </c>
      <c r="I26" s="41" t="s">
        <v>80</v>
      </c>
      <c r="J26" s="41" t="s">
        <v>81</v>
      </c>
      <c r="K26" s="41" t="s">
        <v>38</v>
      </c>
    </row>
    <row r="27" spans="1:11" x14ac:dyDescent="0.2">
      <c r="A27" s="41" t="s">
        <v>82</v>
      </c>
      <c r="B27" s="41" t="s">
        <v>67</v>
      </c>
      <c r="C27" s="43">
        <v>10</v>
      </c>
      <c r="D27" s="43">
        <v>10</v>
      </c>
      <c r="E27" s="43">
        <v>10</v>
      </c>
      <c r="F27" s="43">
        <v>10</v>
      </c>
      <c r="G27" s="43">
        <v>10</v>
      </c>
      <c r="H27" s="43">
        <v>10</v>
      </c>
      <c r="I27" s="41" t="s">
        <v>83</v>
      </c>
      <c r="J27" s="41" t="s">
        <v>84</v>
      </c>
      <c r="K27" s="41" t="s">
        <v>85</v>
      </c>
    </row>
    <row r="28" spans="1:11" x14ac:dyDescent="0.2">
      <c r="A28" s="41" t="s">
        <v>86</v>
      </c>
      <c r="B28" s="41" t="s">
        <v>67</v>
      </c>
      <c r="C28" s="42">
        <v>0.15</v>
      </c>
      <c r="D28" s="42">
        <v>0.15</v>
      </c>
      <c r="E28" s="42">
        <v>0.2</v>
      </c>
      <c r="F28" s="42">
        <v>0.3</v>
      </c>
      <c r="G28" s="42">
        <v>0.3</v>
      </c>
      <c r="H28" s="42">
        <v>0.3</v>
      </c>
      <c r="I28" s="41" t="s">
        <v>24</v>
      </c>
      <c r="J28" s="41" t="s">
        <v>87</v>
      </c>
      <c r="K28" s="41" t="s">
        <v>76</v>
      </c>
    </row>
    <row r="29" spans="1:11" x14ac:dyDescent="0.2">
      <c r="A29" s="41" t="s">
        <v>88</v>
      </c>
      <c r="B29" s="41" t="s">
        <v>67</v>
      </c>
      <c r="C29" s="44">
        <v>22</v>
      </c>
      <c r="D29" s="44">
        <v>22.4</v>
      </c>
      <c r="E29" s="44">
        <v>23.4</v>
      </c>
      <c r="F29" s="44">
        <v>24.4</v>
      </c>
      <c r="G29" s="44">
        <v>25.4</v>
      </c>
      <c r="H29" s="45"/>
      <c r="I29" s="41" t="s">
        <v>72</v>
      </c>
      <c r="J29" s="41" t="s">
        <v>89</v>
      </c>
      <c r="K29" s="41" t="s">
        <v>76</v>
      </c>
    </row>
    <row r="30" spans="1:11" x14ac:dyDescent="0.2">
      <c r="A30" s="41" t="s">
        <v>90</v>
      </c>
      <c r="B30" s="41" t="s">
        <v>67</v>
      </c>
      <c r="C30" s="42">
        <v>0.16</v>
      </c>
      <c r="D30" s="42">
        <v>0.17</v>
      </c>
      <c r="E30" s="42">
        <v>0.18</v>
      </c>
      <c r="F30" s="42">
        <v>0.19</v>
      </c>
      <c r="G30" s="42">
        <v>0.2</v>
      </c>
      <c r="H30" s="42">
        <v>0.21</v>
      </c>
      <c r="I30" s="41" t="s">
        <v>24</v>
      </c>
      <c r="J30" s="41" t="s">
        <v>89</v>
      </c>
      <c r="K30" s="41" t="s">
        <v>76</v>
      </c>
    </row>
    <row r="31" spans="1:11" x14ac:dyDescent="0.2">
      <c r="A31" s="41" t="s">
        <v>91</v>
      </c>
      <c r="B31" s="41" t="s">
        <v>67</v>
      </c>
      <c r="C31" s="46">
        <v>380000</v>
      </c>
      <c r="D31" s="46">
        <v>400000</v>
      </c>
      <c r="E31" s="46">
        <v>460000</v>
      </c>
      <c r="F31" s="46">
        <v>520000</v>
      </c>
      <c r="G31" s="46">
        <v>600000</v>
      </c>
      <c r="H31" s="46">
        <v>660000</v>
      </c>
      <c r="I31" s="41" t="s">
        <v>92</v>
      </c>
      <c r="J31" s="41" t="s">
        <v>89</v>
      </c>
      <c r="K31" s="41" t="s">
        <v>76</v>
      </c>
    </row>
    <row r="32" spans="1:11" x14ac:dyDescent="0.2">
      <c r="A32" s="41" t="s">
        <v>93</v>
      </c>
      <c r="B32" s="41" t="s">
        <v>67</v>
      </c>
      <c r="C32" s="43">
        <v>2300</v>
      </c>
      <c r="D32" s="43">
        <v>2350</v>
      </c>
      <c r="E32" s="43">
        <v>2450</v>
      </c>
      <c r="F32" s="43">
        <v>2550</v>
      </c>
      <c r="G32" s="43">
        <v>2700</v>
      </c>
      <c r="H32" s="43">
        <v>2780</v>
      </c>
      <c r="I32" s="41" t="s">
        <v>94</v>
      </c>
      <c r="J32" s="41" t="s">
        <v>89</v>
      </c>
      <c r="K32" s="41" t="s">
        <v>76</v>
      </c>
    </row>
    <row r="33" spans="1:11" x14ac:dyDescent="0.2">
      <c r="A33" s="41" t="s">
        <v>95</v>
      </c>
      <c r="B33" s="41" t="s">
        <v>67</v>
      </c>
      <c r="C33" s="42">
        <v>0.77</v>
      </c>
      <c r="D33" s="42">
        <v>0.76</v>
      </c>
      <c r="E33" s="42">
        <v>0.78</v>
      </c>
      <c r="F33" s="42">
        <v>0.8</v>
      </c>
      <c r="G33" s="42">
        <v>0.82</v>
      </c>
      <c r="H33" s="42">
        <v>0.83</v>
      </c>
      <c r="I33" s="41" t="s">
        <v>24</v>
      </c>
      <c r="J33" s="41" t="s">
        <v>89</v>
      </c>
      <c r="K33" s="41" t="s">
        <v>76</v>
      </c>
    </row>
    <row r="34" spans="1:11" x14ac:dyDescent="0.2">
      <c r="A34" s="41" t="s">
        <v>97</v>
      </c>
      <c r="B34" s="41" t="s">
        <v>96</v>
      </c>
      <c r="C34" s="44">
        <v>13</v>
      </c>
      <c r="D34" s="44">
        <v>13.4</v>
      </c>
      <c r="E34" s="44">
        <v>14</v>
      </c>
      <c r="F34" s="44">
        <v>14.8</v>
      </c>
      <c r="G34" s="44">
        <v>15.5</v>
      </c>
      <c r="H34" s="45"/>
      <c r="I34" s="41" t="s">
        <v>98</v>
      </c>
      <c r="J34" s="41" t="s">
        <v>89</v>
      </c>
      <c r="K34" s="41" t="s">
        <v>76</v>
      </c>
    </row>
    <row r="35" spans="1:11" x14ac:dyDescent="0.2">
      <c r="A35" s="41" t="s">
        <v>99</v>
      </c>
      <c r="B35" s="41" t="s">
        <v>96</v>
      </c>
      <c r="C35" s="42">
        <v>0.04</v>
      </c>
      <c r="D35" s="42">
        <v>0.04</v>
      </c>
      <c r="E35" s="42">
        <v>0.04</v>
      </c>
      <c r="F35" s="42">
        <v>0.04</v>
      </c>
      <c r="G35" s="42">
        <v>0.04</v>
      </c>
      <c r="H35" s="42">
        <v>0.04</v>
      </c>
      <c r="I35" s="41" t="s">
        <v>24</v>
      </c>
      <c r="J35" s="41" t="s">
        <v>89</v>
      </c>
      <c r="K35" s="41" t="s">
        <v>100</v>
      </c>
    </row>
    <row r="36" spans="1:11" x14ac:dyDescent="0.2">
      <c r="A36" s="41" t="s">
        <v>101</v>
      </c>
      <c r="B36" s="41" t="s">
        <v>96</v>
      </c>
      <c r="C36" s="44">
        <v>3.6</v>
      </c>
      <c r="D36" s="44">
        <v>3.8</v>
      </c>
      <c r="E36" s="44">
        <v>4</v>
      </c>
      <c r="F36" s="44">
        <v>4.2</v>
      </c>
      <c r="G36" s="44">
        <v>4.5</v>
      </c>
      <c r="H36" s="45"/>
      <c r="I36" s="41" t="s">
        <v>98</v>
      </c>
      <c r="J36" s="41" t="s">
        <v>89</v>
      </c>
      <c r="K36" s="41" t="s">
        <v>76</v>
      </c>
    </row>
    <row r="37" spans="1:11" x14ac:dyDescent="0.2">
      <c r="A37" s="41" t="s">
        <v>102</v>
      </c>
      <c r="B37" s="41" t="s">
        <v>96</v>
      </c>
      <c r="C37" s="44">
        <v>15</v>
      </c>
      <c r="D37" s="44">
        <v>15</v>
      </c>
      <c r="E37" s="44">
        <v>15</v>
      </c>
      <c r="F37" s="44">
        <v>18</v>
      </c>
      <c r="G37" s="44">
        <v>20</v>
      </c>
      <c r="H37" s="44">
        <v>21</v>
      </c>
      <c r="I37" s="41" t="s">
        <v>103</v>
      </c>
      <c r="J37" s="41" t="s">
        <v>104</v>
      </c>
      <c r="K37" s="41" t="s">
        <v>76</v>
      </c>
    </row>
    <row r="38" spans="1:11" x14ac:dyDescent="0.2">
      <c r="A38" s="41" t="s">
        <v>105</v>
      </c>
      <c r="B38" s="41" t="s">
        <v>96</v>
      </c>
      <c r="C38" s="47">
        <v>2.6</v>
      </c>
      <c r="D38" s="47">
        <v>2.6</v>
      </c>
      <c r="E38" s="47">
        <v>2.6</v>
      </c>
      <c r="F38" s="47">
        <v>2.5</v>
      </c>
      <c r="G38" s="47">
        <v>2.5</v>
      </c>
      <c r="H38" s="47">
        <v>2.5</v>
      </c>
      <c r="I38" s="41" t="s">
        <v>106</v>
      </c>
      <c r="J38" s="41" t="s">
        <v>89</v>
      </c>
      <c r="K38" s="41" t="s">
        <v>100</v>
      </c>
    </row>
    <row r="39" spans="1:11" x14ac:dyDescent="0.2">
      <c r="A39" s="41" t="s">
        <v>107</v>
      </c>
      <c r="B39" s="41" t="s">
        <v>96</v>
      </c>
      <c r="C39" s="42">
        <v>0.05</v>
      </c>
      <c r="D39" s="42">
        <v>0.05</v>
      </c>
      <c r="E39" s="42">
        <v>0.05</v>
      </c>
      <c r="F39" s="42">
        <v>0.05</v>
      </c>
      <c r="G39" s="42">
        <v>0.05</v>
      </c>
      <c r="H39" s="42">
        <v>0.05</v>
      </c>
      <c r="I39" s="41" t="s">
        <v>24</v>
      </c>
      <c r="J39" s="41" t="s">
        <v>89</v>
      </c>
      <c r="K39" s="41" t="s">
        <v>100</v>
      </c>
    </row>
    <row r="40" spans="1:11" x14ac:dyDescent="0.2">
      <c r="A40" s="41" t="s">
        <v>109</v>
      </c>
      <c r="B40" s="41" t="s">
        <v>108</v>
      </c>
      <c r="C40" s="46">
        <v>1950000</v>
      </c>
      <c r="D40" s="46">
        <v>2000000</v>
      </c>
      <c r="E40" s="46">
        <v>2200000</v>
      </c>
      <c r="F40" s="46">
        <v>2450000</v>
      </c>
      <c r="G40" s="46">
        <v>2700000</v>
      </c>
      <c r="H40" s="45"/>
      <c r="I40" s="41" t="s">
        <v>92</v>
      </c>
      <c r="J40" s="41" t="s">
        <v>89</v>
      </c>
      <c r="K40" s="41" t="s">
        <v>76</v>
      </c>
    </row>
    <row r="41" spans="1:11" x14ac:dyDescent="0.2">
      <c r="A41" s="41" t="s">
        <v>110</v>
      </c>
      <c r="B41" s="41" t="s">
        <v>108</v>
      </c>
      <c r="C41" s="46">
        <v>450000</v>
      </c>
      <c r="D41" s="46">
        <v>450000</v>
      </c>
      <c r="E41" s="46">
        <v>480000</v>
      </c>
      <c r="F41" s="46">
        <v>500000</v>
      </c>
      <c r="G41" s="46">
        <v>550000</v>
      </c>
      <c r="H41" s="46">
        <v>580000</v>
      </c>
      <c r="I41" s="41" t="s">
        <v>92</v>
      </c>
      <c r="J41" s="41" t="s">
        <v>89</v>
      </c>
      <c r="K41" s="41" t="s">
        <v>100</v>
      </c>
    </row>
    <row r="42" spans="1:11" x14ac:dyDescent="0.2">
      <c r="A42" s="41" t="s">
        <v>111</v>
      </c>
      <c r="B42" s="41" t="s">
        <v>108</v>
      </c>
      <c r="C42" s="44">
        <v>0</v>
      </c>
      <c r="D42" s="44">
        <v>0</v>
      </c>
      <c r="E42" s="46">
        <v>150000</v>
      </c>
      <c r="F42" s="46">
        <v>180000</v>
      </c>
      <c r="G42" s="46">
        <v>200000</v>
      </c>
      <c r="H42" s="46">
        <v>220000</v>
      </c>
      <c r="I42" s="41" t="s">
        <v>92</v>
      </c>
      <c r="J42" s="41" t="s">
        <v>89</v>
      </c>
      <c r="K42" s="41" t="s">
        <v>100</v>
      </c>
    </row>
    <row r="43" spans="1:11" x14ac:dyDescent="0.2">
      <c r="A43" s="41" t="s">
        <v>112</v>
      </c>
      <c r="B43" s="41" t="s">
        <v>108</v>
      </c>
      <c r="C43" s="46">
        <v>80000</v>
      </c>
      <c r="D43" s="46">
        <v>90000</v>
      </c>
      <c r="E43" s="46">
        <v>110000</v>
      </c>
      <c r="F43" s="46">
        <v>130000</v>
      </c>
      <c r="G43" s="46">
        <v>150000</v>
      </c>
      <c r="H43" s="46">
        <v>165000</v>
      </c>
      <c r="I43" s="41" t="s">
        <v>92</v>
      </c>
      <c r="J43" s="41" t="s">
        <v>89</v>
      </c>
      <c r="K43" s="41" t="s">
        <v>100</v>
      </c>
    </row>
    <row r="44" spans="1:11" x14ac:dyDescent="0.2">
      <c r="A44" s="41" t="s">
        <v>114</v>
      </c>
      <c r="B44" s="41" t="s">
        <v>113</v>
      </c>
      <c r="C44" s="46">
        <v>150000</v>
      </c>
      <c r="D44" s="46">
        <v>100000</v>
      </c>
      <c r="E44" s="46">
        <v>100000</v>
      </c>
      <c r="F44" s="46">
        <v>110000</v>
      </c>
      <c r="G44" s="46">
        <v>130000</v>
      </c>
      <c r="H44" s="46">
        <v>145000</v>
      </c>
      <c r="I44" s="41" t="s">
        <v>92</v>
      </c>
      <c r="J44" s="41" t="s">
        <v>115</v>
      </c>
      <c r="K44" s="41" t="s">
        <v>100</v>
      </c>
    </row>
    <row r="45" spans="1:11" x14ac:dyDescent="0.2">
      <c r="A45" s="41" t="s">
        <v>117</v>
      </c>
      <c r="B45" s="41" t="s">
        <v>116</v>
      </c>
      <c r="C45" s="43">
        <v>18000</v>
      </c>
      <c r="D45" s="43">
        <v>19000</v>
      </c>
      <c r="E45" s="43">
        <v>20000</v>
      </c>
      <c r="F45" s="43">
        <v>21000</v>
      </c>
      <c r="G45" s="43">
        <v>22000</v>
      </c>
      <c r="H45" s="43">
        <v>23000</v>
      </c>
      <c r="I45" s="41" t="s">
        <v>118</v>
      </c>
      <c r="J45" s="41" t="s">
        <v>89</v>
      </c>
      <c r="K45" s="41" t="s">
        <v>100</v>
      </c>
    </row>
    <row r="46" spans="1:11" x14ac:dyDescent="0.2">
      <c r="A46" s="41" t="s">
        <v>119</v>
      </c>
      <c r="B46" s="41" t="s">
        <v>116</v>
      </c>
      <c r="C46" s="43">
        <v>150000</v>
      </c>
      <c r="D46" s="43">
        <v>165000</v>
      </c>
      <c r="E46" s="43">
        <v>180000</v>
      </c>
      <c r="F46" s="43">
        <v>195000</v>
      </c>
      <c r="G46" s="43">
        <v>205000</v>
      </c>
      <c r="H46" s="43">
        <v>215000</v>
      </c>
      <c r="I46" s="41" t="s">
        <v>120</v>
      </c>
      <c r="J46" s="41" t="s">
        <v>121</v>
      </c>
      <c r="K46" s="41" t="s">
        <v>100</v>
      </c>
    </row>
    <row r="47" spans="1:11" x14ac:dyDescent="0.2">
      <c r="A47" s="41" t="s">
        <v>122</v>
      </c>
      <c r="B47" s="41" t="s">
        <v>116</v>
      </c>
      <c r="C47" s="43">
        <v>28000</v>
      </c>
      <c r="D47" s="43">
        <v>29000</v>
      </c>
      <c r="E47" s="43">
        <v>31000</v>
      </c>
      <c r="F47" s="43">
        <v>33000</v>
      </c>
      <c r="G47" s="43">
        <v>35200</v>
      </c>
      <c r="H47" s="25"/>
      <c r="I47" s="41" t="s">
        <v>123</v>
      </c>
      <c r="J47" s="41" t="s">
        <v>124</v>
      </c>
      <c r="K47" s="41" t="s">
        <v>76</v>
      </c>
    </row>
    <row r="48" spans="1:11" x14ac:dyDescent="0.2">
      <c r="A48" s="41" t="s">
        <v>125</v>
      </c>
      <c r="B48" s="41" t="s">
        <v>116</v>
      </c>
      <c r="C48" s="42">
        <v>0.5</v>
      </c>
      <c r="D48" s="42">
        <v>0.495</v>
      </c>
      <c r="E48" s="42">
        <v>0.49</v>
      </c>
      <c r="F48" s="42">
        <v>0.48</v>
      </c>
      <c r="G48" s="42">
        <v>0.47249999999999998</v>
      </c>
      <c r="H48" s="42">
        <v>0.46500000000000002</v>
      </c>
      <c r="I48" s="41" t="s">
        <v>24</v>
      </c>
      <c r="J48" s="41" t="s">
        <v>124</v>
      </c>
      <c r="K48" s="41" t="s">
        <v>76</v>
      </c>
    </row>
    <row r="49" spans="1:11" x14ac:dyDescent="0.2">
      <c r="A49" s="41" t="s">
        <v>126</v>
      </c>
      <c r="B49" s="41" t="s">
        <v>116</v>
      </c>
      <c r="C49" s="47">
        <v>1.55</v>
      </c>
      <c r="D49" s="47">
        <v>1.6</v>
      </c>
      <c r="E49" s="47">
        <v>1.65</v>
      </c>
      <c r="F49" s="47">
        <v>1.72</v>
      </c>
      <c r="G49" s="47">
        <v>1.8</v>
      </c>
      <c r="H49" s="47">
        <v>1.9</v>
      </c>
      <c r="I49" s="41" t="s">
        <v>127</v>
      </c>
      <c r="J49" s="41" t="s">
        <v>124</v>
      </c>
      <c r="K49" s="41" t="s">
        <v>76</v>
      </c>
    </row>
    <row r="50" spans="1:11" x14ac:dyDescent="0.2">
      <c r="A50" s="41" t="s">
        <v>128</v>
      </c>
      <c r="B50" s="41" t="s">
        <v>116</v>
      </c>
      <c r="C50" s="47">
        <v>60</v>
      </c>
      <c r="D50" s="47">
        <v>62</v>
      </c>
      <c r="E50" s="47">
        <v>65</v>
      </c>
      <c r="F50" s="47">
        <v>68</v>
      </c>
      <c r="G50" s="47">
        <v>70</v>
      </c>
      <c r="H50" s="47">
        <v>75</v>
      </c>
      <c r="I50" s="41" t="s">
        <v>129</v>
      </c>
      <c r="J50" s="41" t="s">
        <v>124</v>
      </c>
      <c r="K50" s="41" t="s">
        <v>76</v>
      </c>
    </row>
    <row r="51" spans="1:11" x14ac:dyDescent="0.2">
      <c r="A51" s="41" t="s">
        <v>130</v>
      </c>
      <c r="B51" s="41" t="s">
        <v>116</v>
      </c>
      <c r="C51" s="42">
        <v>0.4</v>
      </c>
      <c r="D51" s="42">
        <v>0.41</v>
      </c>
      <c r="E51" s="42">
        <v>0.43</v>
      </c>
      <c r="F51" s="42">
        <v>0.44</v>
      </c>
      <c r="G51" s="42">
        <v>0.4551</v>
      </c>
      <c r="H51" s="42">
        <v>0.46</v>
      </c>
      <c r="I51" s="41" t="s">
        <v>24</v>
      </c>
      <c r="J51" s="41" t="s">
        <v>124</v>
      </c>
      <c r="K51" s="41" t="s">
        <v>76</v>
      </c>
    </row>
    <row r="52" spans="1:11" x14ac:dyDescent="0.2">
      <c r="A52" s="41" t="s">
        <v>131</v>
      </c>
      <c r="B52" s="41" t="s">
        <v>59</v>
      </c>
      <c r="C52" s="44">
        <v>45</v>
      </c>
      <c r="D52" s="44">
        <v>44</v>
      </c>
      <c r="E52" s="44">
        <v>42</v>
      </c>
      <c r="F52" s="44">
        <v>40</v>
      </c>
      <c r="G52" s="44">
        <v>39</v>
      </c>
      <c r="H52" s="44">
        <v>37</v>
      </c>
      <c r="I52" s="41" t="s">
        <v>132</v>
      </c>
      <c r="J52" s="41" t="s">
        <v>89</v>
      </c>
      <c r="K52" s="41" t="s">
        <v>100</v>
      </c>
    </row>
    <row r="53" spans="1:11" x14ac:dyDescent="0.2">
      <c r="A53" s="41" t="s">
        <v>133</v>
      </c>
      <c r="B53" s="41" t="s">
        <v>59</v>
      </c>
      <c r="C53" s="43">
        <v>45</v>
      </c>
      <c r="D53" s="43">
        <v>43</v>
      </c>
      <c r="E53" s="43">
        <v>46</v>
      </c>
      <c r="F53" s="43">
        <v>50</v>
      </c>
      <c r="G53" s="43">
        <v>54</v>
      </c>
      <c r="H53" s="43">
        <v>56</v>
      </c>
      <c r="I53" s="41" t="s">
        <v>134</v>
      </c>
      <c r="J53" s="41" t="s">
        <v>89</v>
      </c>
      <c r="K53" s="41" t="s">
        <v>100</v>
      </c>
    </row>
    <row r="54" spans="1:11" x14ac:dyDescent="0.2">
      <c r="A54" s="41" t="s">
        <v>136</v>
      </c>
      <c r="B54" s="41" t="s">
        <v>135</v>
      </c>
      <c r="C54" s="45"/>
      <c r="D54" s="45"/>
      <c r="E54" s="44">
        <v>2.5</v>
      </c>
      <c r="F54" s="44">
        <v>3</v>
      </c>
      <c r="G54" s="44">
        <v>3</v>
      </c>
      <c r="H54" s="44">
        <v>3</v>
      </c>
      <c r="I54" s="41" t="s">
        <v>72</v>
      </c>
      <c r="J54" s="41" t="s">
        <v>137</v>
      </c>
      <c r="K54" s="41" t="s">
        <v>100</v>
      </c>
    </row>
    <row r="55" spans="1:11" x14ac:dyDescent="0.2">
      <c r="A55" s="41" t="s">
        <v>138</v>
      </c>
      <c r="B55" s="41" t="s">
        <v>135</v>
      </c>
      <c r="C55" s="45"/>
      <c r="D55" s="45"/>
      <c r="E55" s="46">
        <v>775716</v>
      </c>
      <c r="F55" s="46">
        <v>799107</v>
      </c>
      <c r="G55" s="46">
        <v>823084</v>
      </c>
      <c r="H55" s="46">
        <v>839546</v>
      </c>
      <c r="I55" s="41" t="s">
        <v>92</v>
      </c>
      <c r="J55" s="41" t="s">
        <v>139</v>
      </c>
      <c r="K55" s="41" t="s">
        <v>38</v>
      </c>
    </row>
    <row r="56" spans="1:11" x14ac:dyDescent="0.2">
      <c r="A56" s="41" t="s">
        <v>140</v>
      </c>
      <c r="B56" s="41" t="s">
        <v>135</v>
      </c>
      <c r="C56" s="10"/>
      <c r="D56" s="10"/>
      <c r="E56" s="10"/>
      <c r="F56" s="42">
        <v>0.03</v>
      </c>
      <c r="G56" s="42">
        <v>0.03</v>
      </c>
      <c r="H56" s="42">
        <v>0.02</v>
      </c>
      <c r="I56" s="41" t="s">
        <v>24</v>
      </c>
      <c r="J56" s="41" t="s">
        <v>137</v>
      </c>
      <c r="K56" s="41" t="s">
        <v>141</v>
      </c>
    </row>
    <row r="57" spans="1:11" x14ac:dyDescent="0.2">
      <c r="A57" s="41" t="s">
        <v>142</v>
      </c>
      <c r="B57" s="41" t="s">
        <v>135</v>
      </c>
      <c r="C57" s="46">
        <v>12000</v>
      </c>
      <c r="D57" s="46">
        <v>12000</v>
      </c>
      <c r="E57" s="46">
        <v>13000</v>
      </c>
      <c r="F57" s="46">
        <v>14000</v>
      </c>
      <c r="G57" s="46">
        <v>15000</v>
      </c>
      <c r="H57" s="46">
        <v>15500</v>
      </c>
      <c r="I57" s="41" t="s">
        <v>92</v>
      </c>
      <c r="J57" s="41" t="s">
        <v>143</v>
      </c>
      <c r="K57" s="41" t="s">
        <v>100</v>
      </c>
    </row>
    <row r="58" spans="1:11" x14ac:dyDescent="0.2">
      <c r="A58" s="41" t="s">
        <v>144</v>
      </c>
      <c r="B58" s="41" t="s">
        <v>135</v>
      </c>
      <c r="C58" s="46">
        <v>180000</v>
      </c>
      <c r="D58" s="46">
        <v>190000</v>
      </c>
      <c r="E58" s="46">
        <v>210000</v>
      </c>
      <c r="F58" s="46">
        <v>230000</v>
      </c>
      <c r="G58" s="46">
        <v>250000</v>
      </c>
      <c r="H58" s="46">
        <v>260000</v>
      </c>
      <c r="I58" s="41" t="s">
        <v>92</v>
      </c>
      <c r="J58" s="41" t="s">
        <v>89</v>
      </c>
      <c r="K58" s="41" t="s">
        <v>100</v>
      </c>
    </row>
    <row r="59" spans="1:11" x14ac:dyDescent="0.2">
      <c r="A59" s="41" t="s">
        <v>145</v>
      </c>
      <c r="B59" s="41" t="s">
        <v>135</v>
      </c>
      <c r="C59" s="46">
        <v>80000</v>
      </c>
      <c r="D59" s="46">
        <v>85000</v>
      </c>
      <c r="E59" s="46">
        <v>90000</v>
      </c>
      <c r="F59" s="46">
        <v>95000</v>
      </c>
      <c r="G59" s="46">
        <v>100000</v>
      </c>
      <c r="H59" s="46">
        <v>105000</v>
      </c>
      <c r="I59" s="41" t="s">
        <v>92</v>
      </c>
      <c r="J59" s="41" t="s">
        <v>89</v>
      </c>
      <c r="K59" s="41" t="s">
        <v>100</v>
      </c>
    </row>
    <row r="60" spans="1:11" x14ac:dyDescent="0.2">
      <c r="A60" s="41" t="s">
        <v>146</v>
      </c>
      <c r="B60" s="41" t="s">
        <v>135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1" t="s">
        <v>92</v>
      </c>
      <c r="J60" s="41" t="s">
        <v>147</v>
      </c>
      <c r="K60" s="41" t="s">
        <v>47</v>
      </c>
    </row>
    <row r="61" spans="1:11" x14ac:dyDescent="0.2">
      <c r="A61" s="41" t="s">
        <v>148</v>
      </c>
      <c r="B61" s="41" t="s">
        <v>135</v>
      </c>
      <c r="C61" s="25"/>
      <c r="D61" s="25"/>
      <c r="E61" s="43">
        <v>29</v>
      </c>
      <c r="F61" s="43">
        <v>17</v>
      </c>
      <c r="G61" s="43">
        <v>5</v>
      </c>
      <c r="H61" s="43">
        <v>0</v>
      </c>
      <c r="I61" s="41" t="s">
        <v>149</v>
      </c>
      <c r="J61" s="41" t="s">
        <v>150</v>
      </c>
      <c r="K61" s="41" t="s">
        <v>100</v>
      </c>
    </row>
    <row r="62" spans="1:11" x14ac:dyDescent="0.2">
      <c r="A62" s="41" t="s">
        <v>151</v>
      </c>
      <c r="B62" s="41" t="s">
        <v>135</v>
      </c>
      <c r="C62" s="46">
        <v>250000</v>
      </c>
      <c r="D62" s="46">
        <v>250000</v>
      </c>
      <c r="E62" s="46">
        <v>260000</v>
      </c>
      <c r="F62" s="46">
        <v>275000</v>
      </c>
      <c r="G62" s="46">
        <v>300000</v>
      </c>
      <c r="H62" s="46">
        <v>310000</v>
      </c>
      <c r="I62" s="41" t="s">
        <v>92</v>
      </c>
      <c r="J62" s="41" t="s">
        <v>89</v>
      </c>
      <c r="K62" s="41" t="s">
        <v>100</v>
      </c>
    </row>
    <row r="63" spans="1:11" x14ac:dyDescent="0.2">
      <c r="A63" s="41" t="s">
        <v>152</v>
      </c>
      <c r="B63" s="41" t="s">
        <v>135</v>
      </c>
      <c r="C63" s="46">
        <v>50000</v>
      </c>
      <c r="D63" s="46">
        <v>50000</v>
      </c>
      <c r="E63" s="46">
        <v>50000</v>
      </c>
      <c r="F63" s="46">
        <v>50000</v>
      </c>
      <c r="G63" s="46">
        <v>50000</v>
      </c>
      <c r="H63" s="46">
        <v>50000</v>
      </c>
      <c r="I63" s="41" t="s">
        <v>92</v>
      </c>
      <c r="J63" s="41" t="s">
        <v>89</v>
      </c>
      <c r="K63" s="41" t="s">
        <v>100</v>
      </c>
    </row>
    <row r="64" spans="1:11" x14ac:dyDescent="0.2">
      <c r="A64" s="41" t="s">
        <v>153</v>
      </c>
      <c r="B64" s="41" t="s">
        <v>135</v>
      </c>
      <c r="C64" s="42">
        <v>0.05</v>
      </c>
      <c r="D64" s="42">
        <v>0.05</v>
      </c>
      <c r="E64" s="42">
        <v>0.05</v>
      </c>
      <c r="F64" s="42">
        <v>0.05</v>
      </c>
      <c r="G64" s="42">
        <v>0.05</v>
      </c>
      <c r="H64" s="42">
        <v>0.05</v>
      </c>
      <c r="I64" s="41" t="s">
        <v>24</v>
      </c>
      <c r="J64" s="41" t="s">
        <v>89</v>
      </c>
      <c r="K64" s="41" t="s">
        <v>100</v>
      </c>
    </row>
    <row r="65" spans="1:11" x14ac:dyDescent="0.2">
      <c r="A65" s="41" t="s">
        <v>155</v>
      </c>
      <c r="B65" s="41" t="s">
        <v>154</v>
      </c>
      <c r="C65" s="43">
        <v>22</v>
      </c>
      <c r="D65" s="43">
        <v>24</v>
      </c>
      <c r="E65" s="43">
        <v>26</v>
      </c>
      <c r="F65" s="43">
        <v>22</v>
      </c>
      <c r="G65" s="43">
        <v>29</v>
      </c>
      <c r="H65" s="43">
        <v>29</v>
      </c>
      <c r="I65" s="41" t="s">
        <v>156</v>
      </c>
      <c r="J65" s="41" t="s">
        <v>157</v>
      </c>
      <c r="K65" s="41" t="s">
        <v>38</v>
      </c>
    </row>
    <row r="66" spans="1:11" x14ac:dyDescent="0.2">
      <c r="A66" s="41" t="s">
        <v>158</v>
      </c>
      <c r="B66" s="41" t="s">
        <v>154</v>
      </c>
      <c r="C66" s="46">
        <v>550000</v>
      </c>
      <c r="D66" s="46">
        <v>560000</v>
      </c>
      <c r="E66" s="46">
        <v>580000</v>
      </c>
      <c r="F66" s="46">
        <v>620000</v>
      </c>
      <c r="G66" s="46">
        <v>680000</v>
      </c>
      <c r="H66" s="46">
        <v>710000</v>
      </c>
      <c r="I66" s="41" t="s">
        <v>92</v>
      </c>
      <c r="J66" s="41" t="s">
        <v>89</v>
      </c>
      <c r="K66" s="41" t="s">
        <v>100</v>
      </c>
    </row>
    <row r="67" spans="1:11" x14ac:dyDescent="0.2">
      <c r="A67" s="41" t="s">
        <v>159</v>
      </c>
      <c r="B67" s="41" t="s">
        <v>154</v>
      </c>
      <c r="C67" s="43">
        <v>42</v>
      </c>
      <c r="D67" s="43">
        <v>43</v>
      </c>
      <c r="E67" s="43">
        <v>44</v>
      </c>
      <c r="F67" s="43">
        <v>45</v>
      </c>
      <c r="G67" s="43">
        <v>46</v>
      </c>
      <c r="H67" s="43">
        <v>47</v>
      </c>
      <c r="I67" s="41" t="s">
        <v>160</v>
      </c>
      <c r="J67" s="41" t="s">
        <v>161</v>
      </c>
      <c r="K67" s="41" t="s">
        <v>100</v>
      </c>
    </row>
    <row r="68" spans="1:11" x14ac:dyDescent="0.2">
      <c r="A68" s="41" t="s">
        <v>162</v>
      </c>
      <c r="B68" s="41" t="s">
        <v>154</v>
      </c>
      <c r="C68" s="46">
        <v>100000</v>
      </c>
      <c r="D68" s="46">
        <v>110000</v>
      </c>
      <c r="E68" s="46">
        <v>130000</v>
      </c>
      <c r="F68" s="46">
        <v>150000</v>
      </c>
      <c r="G68" s="46">
        <v>175000</v>
      </c>
      <c r="H68" s="46">
        <v>185000</v>
      </c>
      <c r="I68" s="41" t="s">
        <v>92</v>
      </c>
      <c r="J68" s="41" t="s">
        <v>89</v>
      </c>
      <c r="K68" s="41" t="s">
        <v>100</v>
      </c>
    </row>
    <row r="69" spans="1:11" x14ac:dyDescent="0.2">
      <c r="A69" s="41" t="s">
        <v>163</v>
      </c>
      <c r="B69" s="41" t="s">
        <v>154</v>
      </c>
      <c r="C69" s="42">
        <v>0.82</v>
      </c>
      <c r="D69" s="42">
        <v>0.82</v>
      </c>
      <c r="E69" s="42">
        <v>0.83</v>
      </c>
      <c r="F69" s="42">
        <v>0.84</v>
      </c>
      <c r="G69" s="42">
        <v>0.84</v>
      </c>
      <c r="H69" s="42">
        <v>0.84</v>
      </c>
      <c r="I69" s="41" t="s">
        <v>24</v>
      </c>
      <c r="J69" s="41" t="s">
        <v>89</v>
      </c>
      <c r="K69" s="41" t="s">
        <v>100</v>
      </c>
    </row>
    <row r="70" spans="1:11" x14ac:dyDescent="0.2">
      <c r="A70" s="41" t="s">
        <v>164</v>
      </c>
      <c r="B70" s="41" t="s">
        <v>154</v>
      </c>
      <c r="C70" s="46">
        <v>200000</v>
      </c>
      <c r="D70" s="46">
        <v>210000</v>
      </c>
      <c r="E70" s="46">
        <v>230000</v>
      </c>
      <c r="F70" s="46">
        <v>250000</v>
      </c>
      <c r="G70" s="46">
        <v>280000</v>
      </c>
      <c r="H70" s="46">
        <v>290000</v>
      </c>
      <c r="I70" s="41" t="s">
        <v>92</v>
      </c>
      <c r="J70" s="41" t="s">
        <v>89</v>
      </c>
      <c r="K70" s="41" t="s">
        <v>100</v>
      </c>
    </row>
    <row r="71" spans="1:11" x14ac:dyDescent="0.2">
      <c r="A71" s="41" t="s">
        <v>165</v>
      </c>
      <c r="B71" s="41" t="s">
        <v>154</v>
      </c>
      <c r="C71" s="46">
        <v>49000</v>
      </c>
      <c r="D71" s="46">
        <v>50000</v>
      </c>
      <c r="E71" s="46">
        <v>51500</v>
      </c>
      <c r="F71" s="46">
        <v>52725</v>
      </c>
      <c r="G71" s="46">
        <v>54000</v>
      </c>
      <c r="H71" s="46">
        <v>55620</v>
      </c>
      <c r="I71" s="41" t="s">
        <v>92</v>
      </c>
      <c r="J71" s="41" t="s">
        <v>166</v>
      </c>
      <c r="K71" s="41" t="s">
        <v>76</v>
      </c>
    </row>
    <row r="72" spans="1:11" x14ac:dyDescent="0.2">
      <c r="A72" s="41" t="s">
        <v>167</v>
      </c>
      <c r="B72" s="41" t="s">
        <v>154</v>
      </c>
      <c r="C72" s="46">
        <v>65000</v>
      </c>
      <c r="D72" s="46">
        <v>66000</v>
      </c>
      <c r="E72" s="46">
        <v>70000</v>
      </c>
      <c r="F72" s="46">
        <v>74000</v>
      </c>
      <c r="G72" s="46">
        <v>78000</v>
      </c>
      <c r="H72" s="46">
        <v>80000</v>
      </c>
      <c r="I72" s="41" t="s">
        <v>92</v>
      </c>
      <c r="J72" s="41" t="s">
        <v>89</v>
      </c>
      <c r="K72" s="41" t="s">
        <v>100</v>
      </c>
    </row>
    <row r="73" spans="1:11" x14ac:dyDescent="0.2">
      <c r="A73" s="41" t="s">
        <v>168</v>
      </c>
      <c r="B73" s="41" t="s">
        <v>154</v>
      </c>
      <c r="C73" s="46">
        <v>200000</v>
      </c>
      <c r="D73" s="46">
        <v>210000</v>
      </c>
      <c r="E73" s="46">
        <v>230000</v>
      </c>
      <c r="F73" s="46">
        <v>250000</v>
      </c>
      <c r="G73" s="46">
        <v>270000</v>
      </c>
      <c r="H73" s="46">
        <v>280000</v>
      </c>
      <c r="I73" s="41" t="s">
        <v>92</v>
      </c>
      <c r="J73" s="41" t="s">
        <v>89</v>
      </c>
      <c r="K73" s="41" t="s">
        <v>100</v>
      </c>
    </row>
    <row r="74" spans="1:11" x14ac:dyDescent="0.2">
      <c r="A74" s="41" t="s">
        <v>169</v>
      </c>
      <c r="B74" s="41" t="s">
        <v>154</v>
      </c>
      <c r="C74" s="46">
        <v>150000</v>
      </c>
      <c r="D74" s="46">
        <v>155000</v>
      </c>
      <c r="E74" s="46">
        <v>165000</v>
      </c>
      <c r="F74" s="46">
        <v>175000</v>
      </c>
      <c r="G74" s="46">
        <v>190000</v>
      </c>
      <c r="H74" s="46">
        <v>195000</v>
      </c>
      <c r="I74" s="41" t="s">
        <v>92</v>
      </c>
      <c r="J74" s="41" t="s">
        <v>89</v>
      </c>
      <c r="K74" s="41" t="s">
        <v>100</v>
      </c>
    </row>
    <row r="75" spans="1:11" x14ac:dyDescent="0.2">
      <c r="A75" s="41" t="s">
        <v>170</v>
      </c>
      <c r="B75" s="41" t="s">
        <v>154</v>
      </c>
      <c r="C75" s="43">
        <v>8</v>
      </c>
      <c r="D75" s="43">
        <v>8</v>
      </c>
      <c r="E75" s="43">
        <v>9</v>
      </c>
      <c r="F75" s="43">
        <v>9</v>
      </c>
      <c r="G75" s="43">
        <v>15</v>
      </c>
      <c r="H75" s="43">
        <v>15</v>
      </c>
      <c r="I75" s="41" t="s">
        <v>156</v>
      </c>
      <c r="J75" s="41" t="s">
        <v>157</v>
      </c>
      <c r="K75" s="41" t="s">
        <v>100</v>
      </c>
    </row>
    <row r="76" spans="1:11" x14ac:dyDescent="0.2">
      <c r="A76" s="41" t="s">
        <v>172</v>
      </c>
      <c r="B76" s="41" t="s">
        <v>171</v>
      </c>
      <c r="C76" s="46">
        <v>4200000</v>
      </c>
      <c r="D76" s="46">
        <v>4300000</v>
      </c>
      <c r="E76" s="46">
        <v>4400000</v>
      </c>
      <c r="F76" s="46">
        <v>4500000</v>
      </c>
      <c r="G76" s="46">
        <v>4700000</v>
      </c>
      <c r="H76" s="46">
        <v>4900000</v>
      </c>
      <c r="I76" s="41" t="s">
        <v>92</v>
      </c>
      <c r="J76" s="41" t="s">
        <v>89</v>
      </c>
      <c r="K76" s="41" t="s">
        <v>100</v>
      </c>
    </row>
    <row r="77" spans="1:11" x14ac:dyDescent="0.2">
      <c r="A77" s="41" t="s">
        <v>173</v>
      </c>
      <c r="B77" s="41" t="s">
        <v>171</v>
      </c>
      <c r="C77" s="46">
        <v>80000</v>
      </c>
      <c r="D77" s="46">
        <v>90000</v>
      </c>
      <c r="E77" s="46">
        <v>100000</v>
      </c>
      <c r="F77" s="46">
        <v>120000</v>
      </c>
      <c r="G77" s="46">
        <v>140000</v>
      </c>
      <c r="H77" s="46">
        <v>160000</v>
      </c>
      <c r="I77" s="41" t="s">
        <v>92</v>
      </c>
      <c r="J77" s="41" t="s">
        <v>89</v>
      </c>
      <c r="K77" s="41" t="s">
        <v>100</v>
      </c>
    </row>
    <row r="78" spans="1:11" x14ac:dyDescent="0.2">
      <c r="A78" s="41" t="s">
        <v>174</v>
      </c>
      <c r="B78" s="41" t="s">
        <v>171</v>
      </c>
      <c r="C78" s="46">
        <v>200000</v>
      </c>
      <c r="D78" s="46">
        <v>220000</v>
      </c>
      <c r="E78" s="46">
        <v>240000</v>
      </c>
      <c r="F78" s="46">
        <v>260000</v>
      </c>
      <c r="G78" s="46">
        <v>280000</v>
      </c>
      <c r="H78" s="46">
        <v>300000</v>
      </c>
      <c r="I78" s="41" t="s">
        <v>92</v>
      </c>
      <c r="J78" s="41" t="s">
        <v>175</v>
      </c>
      <c r="K78" s="41" t="s">
        <v>100</v>
      </c>
    </row>
    <row r="79" spans="1:11" x14ac:dyDescent="0.2">
      <c r="A79" s="41" t="s">
        <v>176</v>
      </c>
      <c r="B79" s="41" t="s">
        <v>171</v>
      </c>
      <c r="C79" s="46">
        <v>650000</v>
      </c>
      <c r="D79" s="46">
        <v>700000</v>
      </c>
      <c r="E79" s="46">
        <v>750000</v>
      </c>
      <c r="F79" s="46">
        <v>800000</v>
      </c>
      <c r="G79" s="46">
        <v>900000</v>
      </c>
      <c r="H79" s="46">
        <v>950000</v>
      </c>
      <c r="I79" s="41" t="s">
        <v>92</v>
      </c>
      <c r="J79" s="41" t="s">
        <v>89</v>
      </c>
      <c r="K79" s="41" t="s">
        <v>100</v>
      </c>
    </row>
    <row r="80" spans="1:11" x14ac:dyDescent="0.2">
      <c r="A80" s="41" t="s">
        <v>177</v>
      </c>
      <c r="B80" s="41" t="s">
        <v>171</v>
      </c>
      <c r="C80" s="46">
        <v>300000</v>
      </c>
      <c r="D80" s="46">
        <v>325000</v>
      </c>
      <c r="E80" s="46">
        <v>350000</v>
      </c>
      <c r="F80" s="46">
        <v>375000</v>
      </c>
      <c r="G80" s="46">
        <v>425000</v>
      </c>
      <c r="H80" s="46">
        <v>450000</v>
      </c>
      <c r="I80" s="41" t="s">
        <v>92</v>
      </c>
      <c r="J80" s="41" t="s">
        <v>89</v>
      </c>
      <c r="K80" s="41" t="s">
        <v>100</v>
      </c>
    </row>
    <row r="81" spans="1:11" x14ac:dyDescent="0.2">
      <c r="A81" s="41" t="s">
        <v>179</v>
      </c>
      <c r="B81" s="41" t="s">
        <v>178</v>
      </c>
      <c r="C81" s="48">
        <v>3.2</v>
      </c>
      <c r="D81" s="48">
        <v>3.2</v>
      </c>
      <c r="E81" s="48">
        <v>3.2</v>
      </c>
      <c r="F81" s="48">
        <v>3.2</v>
      </c>
      <c r="G81" s="48">
        <v>3.2</v>
      </c>
      <c r="H81" s="48">
        <v>3.2</v>
      </c>
      <c r="I81" s="41" t="s">
        <v>180</v>
      </c>
      <c r="J81" s="41" t="s">
        <v>25</v>
      </c>
      <c r="K81" s="41" t="s">
        <v>26</v>
      </c>
    </row>
    <row r="82" spans="1:11" x14ac:dyDescent="0.2">
      <c r="A82" s="41" t="s">
        <v>181</v>
      </c>
      <c r="B82" s="41" t="s">
        <v>116</v>
      </c>
      <c r="C82" s="44">
        <v>5</v>
      </c>
      <c r="D82" s="44">
        <v>5</v>
      </c>
      <c r="E82" s="44">
        <v>5</v>
      </c>
      <c r="F82" s="44">
        <v>5</v>
      </c>
      <c r="G82" s="44">
        <v>5</v>
      </c>
      <c r="H82" s="44">
        <v>5</v>
      </c>
      <c r="I82" s="41" t="s">
        <v>182</v>
      </c>
      <c r="J82" s="41" t="s">
        <v>25</v>
      </c>
      <c r="K82" s="41" t="s">
        <v>26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showGridLines="0" workbookViewId="0">
      <selection activeCell="E18" sqref="E18"/>
    </sheetView>
  </sheetViews>
  <sheetFormatPr baseColWidth="10" defaultColWidth="8.83203125" defaultRowHeight="15" x14ac:dyDescent="0.2"/>
  <cols>
    <col min="1" max="1" width="10.5" customWidth="1"/>
    <col min="2" max="4" width="14.6640625" bestFit="1" customWidth="1"/>
    <col min="5" max="7" width="14.83203125" bestFit="1" customWidth="1"/>
  </cols>
  <sheetData>
    <row r="1" spans="1:7" x14ac:dyDescent="0.2">
      <c r="A1" t="s">
        <v>401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s="59" customFormat="1" x14ac:dyDescent="0.2">
      <c r="A2" s="59" t="s">
        <v>395</v>
      </c>
      <c r="B2" s="59">
        <f>Master_Model!E3</f>
        <v>6992</v>
      </c>
      <c r="C2" s="59">
        <f>Master_Model!F3</f>
        <v>6953</v>
      </c>
      <c r="D2" s="59">
        <f>Master_Model!G3</f>
        <v>7249</v>
      </c>
      <c r="E2" s="59">
        <f>Master_Model!H3</f>
        <v>7262</v>
      </c>
      <c r="F2" s="59">
        <f>Master_Model!I3</f>
        <v>7403</v>
      </c>
      <c r="G2" s="59">
        <f>Master_Model!J3</f>
        <v>7625</v>
      </c>
    </row>
    <row r="3" spans="1:7" x14ac:dyDescent="0.2">
      <c r="A3" t="s">
        <v>396</v>
      </c>
      <c r="B3" s="58">
        <f>Master_Model!E49</f>
        <v>8458030.7446153834</v>
      </c>
      <c r="C3" s="58">
        <f>Master_Model!F49</f>
        <v>8954438.9187692292</v>
      </c>
      <c r="D3" s="58">
        <f>Master_Model!G49</f>
        <v>9771831.5169230774</v>
      </c>
      <c r="E3" s="58">
        <f>Master_Model!H49</f>
        <v>10405838.464</v>
      </c>
      <c r="F3" s="58">
        <f>Master_Model!I49</f>
        <v>11210427.359999999</v>
      </c>
      <c r="G3" s="58">
        <f>Master_Model!J49</f>
        <v>12031865</v>
      </c>
    </row>
    <row r="4" spans="1:7" x14ac:dyDescent="0.2">
      <c r="A4" t="s">
        <v>352</v>
      </c>
      <c r="B4" s="58">
        <f>Master_Model!E95</f>
        <v>899263.74461538345</v>
      </c>
      <c r="C4" s="58">
        <f>Master_Model!F95</f>
        <v>1112461.9187692292</v>
      </c>
      <c r="D4" s="58">
        <f>Master_Model!G95</f>
        <v>733312.5169230774</v>
      </c>
      <c r="E4" s="58">
        <f>Master_Model!H95</f>
        <v>943447.46399999969</v>
      </c>
      <c r="F4" s="58">
        <f>Master_Model!I95</f>
        <v>1246049.3599999994</v>
      </c>
      <c r="G4" s="58">
        <f>Master_Model!J95</f>
        <v>1682309</v>
      </c>
    </row>
    <row r="5" spans="1:7" x14ac:dyDescent="0.2">
      <c r="A5" t="s">
        <v>397</v>
      </c>
      <c r="B5" s="58">
        <f>Master_Model!E99</f>
        <v>27065698.382769227</v>
      </c>
      <c r="C5" s="58">
        <f>Master_Model!F99</f>
        <v>28654204.540061533</v>
      </c>
      <c r="D5" s="58">
        <f>Master_Model!G99</f>
        <v>31269860.854153849</v>
      </c>
      <c r="E5" s="58">
        <f>Master_Model!H99</f>
        <v>33298683.084800001</v>
      </c>
      <c r="F5" s="58">
        <f>Master_Model!I99</f>
        <v>35873367.552000001</v>
      </c>
      <c r="G5" s="58">
        <f>Master_Model!J99</f>
        <v>38501968</v>
      </c>
    </row>
    <row r="8" spans="1:7" x14ac:dyDescent="0.2">
      <c r="A8" t="s">
        <v>398</v>
      </c>
      <c r="B8" t="s">
        <v>399</v>
      </c>
      <c r="C8" t="s">
        <v>372</v>
      </c>
      <c r="D8" t="s">
        <v>373</v>
      </c>
      <c r="E8" t="s">
        <v>374</v>
      </c>
    </row>
    <row r="9" spans="1:7" x14ac:dyDescent="0.2">
      <c r="A9" t="s">
        <v>400</v>
      </c>
      <c r="B9" s="58">
        <f>Master_Model!J49</f>
        <v>12031865</v>
      </c>
      <c r="C9" s="58">
        <f>Scenario_OnePager!B25</f>
        <v>12692259.393199999</v>
      </c>
      <c r="D9" s="58">
        <f>Scenario_OnePager!C25</f>
        <v>13265557.370000001</v>
      </c>
      <c r="E9" s="58">
        <f>Scenario_OnePager!D25</f>
        <v>13886162.511200001</v>
      </c>
    </row>
    <row r="10" spans="1:7" x14ac:dyDescent="0.2">
      <c r="A10" t="s">
        <v>352</v>
      </c>
      <c r="B10" s="58">
        <f>Master_Model!J95</f>
        <v>1682309</v>
      </c>
      <c r="C10" s="58">
        <f>Scenario_OnePager!B26</f>
        <v>1812722.8706610978</v>
      </c>
      <c r="D10" s="58">
        <f>Scenario_OnePager!C26</f>
        <v>1934398.6095356706</v>
      </c>
      <c r="E10" s="58">
        <f>Scenario_OnePager!D26</f>
        <v>2080440.6046014111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Assumptions</vt:lpstr>
      <vt:lpstr>Master_Model</vt:lpstr>
      <vt:lpstr>Scenario_OnePager</vt:lpstr>
      <vt:lpstr>Source_Log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keegan Holt</cp:lastModifiedBy>
  <dcterms:created xsi:type="dcterms:W3CDTF">2026-04-19T17:26:44Z</dcterms:created>
  <dcterms:modified xsi:type="dcterms:W3CDTF">2026-04-19T17:26:44Z</dcterms:modified>
</cp:coreProperties>
</file>