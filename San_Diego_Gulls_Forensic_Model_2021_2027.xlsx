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20e9771ad54f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51e28892a024506"/>
    <x:sheet xmlns:r="http://schemas.openxmlformats.org/officeDocument/2006/relationships" name="Assumptions" sheetId="2" r:id="Raf4f45d131e54e13"/>
    <x:sheet xmlns:r="http://schemas.openxmlformats.org/officeDocument/2006/relationships" name="Master_Model" sheetId="3" r:id="R41fb9987b1b9482c"/>
    <x:sheet xmlns:r="http://schemas.openxmlformats.org/officeDocument/2006/relationships" name="Scenario_OnePager" sheetId="4" r:id="R135a39d327f6488d"/>
    <x:sheet xmlns:r="http://schemas.openxmlformats.org/officeDocument/2006/relationships" name="Source_Log" sheetId="5" r:id="R36c3c5578a4d4783"/>
    <x:sheet xmlns:r="http://schemas.openxmlformats.org/officeDocument/2006/relationships" name="Charts" sheetId="6" r:id="R29ac3138fa1a480b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5" authorId="0">
      <x:text>
        <x:r>
          <x:t>Source / method:
Model control
Note:
Projection control; applied to 2025-26 average attendance to set 2026-27 baseline.</x:t>
        </x:r>
      </x:text>
    </x:comment>
    <x:comment ref="B6" authorId="0">
      <x:text>
        <x:r>
          <x:t>Source / method:
Model control
Note:
Projection control; applied to 2025-26 modeled weighted average ticket price.</x:t>
        </x:r>
      </x:text>
    </x:comment>
    <x:comment ref="B7" authorId="0">
      <x:text>
        <x:r>
          <x:t>Source / method:
Model control
Note:
Projection control; applied to 2025-26 sponsorship estimate.</x:t>
        </x:r>
      </x:text>
    </x:comment>
    <x:comment ref="B8" authorId="0">
      <x:text>
        <x:r>
          <x:t>Source / method:
Model control
Note:
Projection control; applied to 2025-26 modeled F&amp;B per-cap.</x:t>
        </x:r>
      </x:text>
    </x:comment>
    <x:comment ref="B9" authorId="0">
      <x:text>
        <x:r>
          <x:t>Source / method:
Model control
Note:
Projection control; applied to 2025-26 modeled merchandise per-cap.</x:t>
        </x:r>
      </x:text>
    </x:comment>
    <x:comment ref="B10" authorId="0">
      <x:text>
        <x:r>
          <x:t>Source / method:
Model control
Note:
Projection control; applied to 2025-26 STM entry price.</x:t>
        </x:r>
      </x:text>
    </x:comment>
    <x:comment ref="B11" authorId="0">
      <x:text>
        <x:r>
          <x:t>Source / method:
Model control
Note:
Projection control; applied to 2025-26 single-game floor.</x:t>
        </x:r>
      </x:text>
    </x:comment>
    <x:comment ref="B12" authorId="0">
      <x:text>
        <x:r>
          <x:t>Source / method:
Model control
Note:
Projection control; applied to 2025-26 Similarweb visit estimate.</x:t>
        </x:r>
      </x:text>
    </x:comment>
    <x:comment ref="B13" authorId="0">
      <x:text>
        <x:r>
          <x:t>Source / method:
https://www.hockeydb.com/stte/san-diego-gulls-11619.html
Note:
HockeyDB franchise history page for San Diego Gulls; 2026-27 projected from 2025-26 x growth control.</x:t>
        </x:r>
      </x:text>
    </x:comment>
    <x:comment ref="B14" authorId="0">
      <x:text>
        <x:r>
          <x:t>Source / method:
https://www.sandiegogulls.com/news/detail/san-diego-gulls-2021-22-schedule-announced
Note:
AHL schedules and season formats; 2021-22 was 68-game season (34 home), then 72-game seasons (36 home).</x:t>
        </x:r>
      </x:text>
    </x:comment>
    <x:comment ref="B15" authorId="0">
      <x:text>
        <x:r>
          <x:t>Source / method:
https://www.sandiegogulls.com/assets/doc/2021-22-San-Diego-Gulls-Media-Guide-compressed-92470e4558.pdf
Note:
Media guide hockey capacity anchor used for RevPAS.</x:t>
        </x:r>
      </x:text>
    </x:comment>
    <x:comment ref="B16" authorId="0">
      <x:text>
        <x:r>
          <x:t>Source / method:
https://pechangaarenasd.com/about/
Note:
Current Pechanga Arena listed capacity.</x:t>
        </x:r>
      </x:text>
    </x:comment>
    <x:comment ref="B17" authorId="0">
      <x:text>
        <x:r>
          <x:t>Source / method:
Multiple official schedule releases on sandiegogulls.com
Note:
Official yearly schedule releases.</x:t>
        </x:r>
      </x:text>
    </x:comment>
    <x:comment ref="B18" authorId="0">
      <x:text>
        <x:r>
          <x:t>Source / method:
Multiple official schedule releases on sandiegogulls.com
Note:
Official yearly schedule releases.</x:t>
        </x:r>
      </x:text>
    </x:comment>
    <x:comment ref="B19" authorId="0">
      <x:text>
        <x:r>
          <x:t>Source / method:
Multiple official schedule releases on sandiegogulls.com
Note:
Official yearly schedule releases; 2026-27 baseline projected mix.</x:t>
        </x:r>
      </x:text>
    </x:comment>
    <x:comment ref="B20" authorId="0">
      <x:text>
        <x:r>
          <x:t>Source / method:
Multiple official schedule releases on sandiegogulls.com
Note:
Official yearly schedule releases; 2026-27 baseline projected mix.</x:t>
        </x:r>
      </x:text>
    </x:comment>
    <x:comment ref="B21" authorId="0">
      <x:text>
        <x:r>
          <x:t>Source / method:
Multiple official schedule releases on sandiegogulls.com
Note:
Official yearly schedule releases / current ticket article for 2025-26.</x:t>
        </x:r>
      </x:text>
    </x:comment>
    <x:comment ref="B22" authorId="0">
      <x:text>
        <x:r>
          <x:t>Source / method:
Multiple official promo releases on sandiegogulls.com
Note:
Official promo schedule releases; 2025-26 uses 8 anniversary nights + 20 additional promotional nights. 2026-27 projected modest expansion.</x:t>
        </x:r>
      </x:text>
    </x:comment>
    <x:comment ref="B23" authorId="0">
      <x:text>
        <x:r>
          <x:t>Source / method:
Multiple official promo releases on sandiegogulls.com
Note:
Official promo schedule releases; 2025-26 currently lists five announced giveaways.</x:t>
        </x:r>
      </x:text>
    </x:comment>
    <x:comment ref="B24" authorId="0">
      <x:text>
        <x:r>
          <x:t>Source / method:
Multiple official promo releases on sandiegogulls.com
Note:
Official promo schedule releases; 2026-27 projected modest expansion.</x:t>
        </x:r>
      </x:text>
    </x:comment>
    <x:comment ref="B25" authorId="0">
      <x:text>
        <x:r>
          <x:t>Source / method:
Multiple official ticketing releases on sandiegogulls.com
Note:
Official Gulls Elite / schedule / home opener releases.</x:t>
        </x:r>
      </x:text>
    </x:comment>
    <x:comment ref="B26" authorId="0">
      <x:text>
        <x:r>
          <x:t>Source / method:
Multiple official ticketing releases on sandiegogulls.com
Note:
2021, 2022, 2023, 2025 are from official ticket on-sale articles; 2024-25 interpolated estimate because official 2024 floor was not captured in reviewed sources.</x:t>
        </x:r>
      </x:text>
    </x:comment>
    <x:comment ref="B27" authorId="0">
      <x:text>
        <x:r>
          <x:t>Source / method:
https://www.sandiegogulls.com/news/detail/single-game-tickets-available-now
Note:
2025-26 official online floor incl. fees; 2024-25 and 2026-27 are modeled estimates around current fee architecture.</x:t>
        </x:r>
      </x:text>
    </x:comment>
    <x:comment ref="B28" authorId="0">
      <x:text>
        <x:r>
          <x:t>Source / method:
https://www.sandiegogulls.com/tickets/college
Note:
Official college ticket page current season; 2026-27 projected mild inflation.</x:t>
        </x:r>
      </x:text>
    </x:comment>
    <x:comment ref="B29" authorId="0">
      <x:text>
        <x:r>
          <x:t>Source / method:
https://www.sandiegogulls.com/tickets/4-packs
Note:
Official current family pack page; used as current merchandising/ticket bundle anchor.</x:t>
        </x:r>
      </x:text>
    </x:comment>
    <x:comment ref="B30" authorId="0">
      <x:text>
        <x:r>
          <x:t>Source / method:
https://www.sandiegogulls.com/tickets/group-tickets
Note:
Official group page current; assumed stable historically.</x:t>
        </x:r>
      </x:text>
    </x:comment>
    <x:comment ref="B31" authorId="0">
      <x:text>
        <x:r>
          <x:t>Source / method:
https://www.sandiegogulls.com/tickets/gulls-mini-plans
Note:
Current mini-plan discounts are public; older-year values are conservative modeled placeholders to support trend analysis.</x:t>
        </x:r>
      </x:text>
    </x:comment>
    <x:comment ref="B32" authorId="0">
      <x:text>
        <x:r>
          <x:t>Source / method:
Model methodology
Note:
Modeled from STM entry floors, single-game floors, college pricing, family packs, and group/premium mix.</x:t>
        </x:r>
      </x:text>
    </x:comment>
    <x:comment ref="B33" authorId="0">
      <x:text>
        <x:r>
          <x:t>Source / method:
Model methodology
Note:
Logical range based on minor-league group channel importance; used as a model driver only.</x:t>
        </x:r>
      </x:text>
    </x:comment>
    <x:comment ref="B34" authorId="0">
      <x:text>
        <x:r>
          <x:t>Source / method:
Model methodology
Note:
Logical estimate of premium inventory revenue; treated as embedded within gate yield, not additive to avoid double-counting.</x:t>
        </x:r>
      </x:text>
    </x:comment>
    <x:comment ref="B35" authorId="0">
      <x:text>
        <x:r>
          <x:t>Source / method:
Model methodology
Note:
Modeled from attendance, STM pricing, and minor-league ticket mix benchmarks.</x:t>
        </x:r>
      </x:text>
    </x:comment>
    <x:comment ref="B36" authorId="0">
      <x:text>
        <x:r>
          <x:t>Source / method:
Model methodology
Note:
Modeled retention range based on affiliated minor-league season ticket behavior.</x:t>
        </x:r>
      </x:text>
    </x:comment>
    <x:comment ref="B37" authorId="0">
      <x:text>
        <x:r>
          <x:t>Source / method:
Model methodology
Note:
Modeled gross in-building F&amp;B spend per attendee using San Diego arena pricing context and minor-league benchmarks.</x:t>
        </x:r>
      </x:text>
    </x:comment>
    <x:comment ref="B38" authorId="0">
      <x:text>
        <x:r>
          <x:t>Source / method:
Model methodology
Note:
Logical commission rate placeholder because the team's actual arena F&amp;B split is private.</x:t>
        </x:r>
      </x:text>
    </x:comment>
    <x:comment ref="B39" authorId="0">
      <x:text>
        <x:r>
          <x:t>Source / method:
Model methodology
Note:
Modeled per-cap merchandise spend using minor-league team-store benchmarks.</x:t>
        </x:r>
      </x:text>
    </x:comment>
    <x:comment ref="B40" authorId="0">
      <x:text>
        <x:r>
          <x:t>Source / method:
https://pechangaarenasd.com/plan-your-visit/directions-parking/
Note:
Parking is event-specific and publicly listed on event pages; these are reasonable historical/current assumptions, not disclosed team averages.</x:t>
        </x:r>
      </x:text>
    </x:comment>
    <x:comment ref="B41" authorId="0">
      <x:text>
        <x:r>
          <x:t>Source / method:
Model methodology
Note:
Standard event attendance transport assumption for parking yield estimation.</x:t>
        </x:r>
      </x:text>
    </x:comment>
    <x:comment ref="B42" authorId="0">
      <x:text>
        <x:r>
          <x:t>Source / method:
Model methodology
Note:
No public Gulls-specific parking split was found; logical nominal team-side share only.</x:t>
        </x:r>
      </x:text>
    </x:comment>
    <x:comment ref="B43" authorId="0">
      <x:text>
        <x:r>
          <x:t>Source / method:
Model methodology
Note:
Modeled total sponsorship / partner revenue based on visible inventory depth, AHL benchmarks, and partner footprint.</x:t>
        </x:r>
      </x:text>
    </x:comment>
    <x:comment ref="B44" authorId="0">
      <x:text>
        <x:r>
          <x:t>Source / method:
Model methodology
Note:
Modeled anchor-partner value. Included within total sponsorship revenue.</x:t>
        </x:r>
      </x:text>
    </x:comment>
    <x:comment ref="B45" authorId="0">
      <x:text>
        <x:r>
          <x:t>Source / method:
Model methodology
Note:
Modeled jersey/patch branding value. Included within total sponsorship revenue.</x:t>
        </x:r>
      </x:text>
    </x:comment>
    <x:comment ref="B46" authorId="0">
      <x:text>
        <x:r>
          <x:t>Source / method:
Model methodology
Note:
Modeled 'presented by' / app / social / email / owned media inventory value. Included within total sponsorship revenue.</x:t>
        </x:r>
      </x:text>
    </x:comment>
    <x:comment ref="B47" authorId="0">
      <x:text>
        <x:r>
          <x:t>Source / method:
https://theahl.com/news/ahl-flosports-partnership-extension
Note:
Modeled local TV + streaming share value; AHLTV / FloHockey is league-managed.</x:t>
        </x:r>
      </x:text>
    </x:comment>
    <x:comment ref="B48" authorId="0">
      <x:text>
        <x:r>
          <x:t>Source / method:
Model methodology
Note:
Modeled active owned-email scale using team digital footprint and typical sports CRM penetration.</x:t>
        </x:r>
      </x:text>
    </x:comment>
    <x:comment ref="B49" authorId="0">
      <x:text>
        <x:r>
          <x:t>Source / method:
Multiple public social snippets
Note:
Estimated aggregate audience across major social platforms; current public footprint includes roughly 79K Instagram, 30K X, 15K TikTok plus Facebook audience.</x:t>
        </x:r>
      </x:text>
    </x:comment>
    <x:comment ref="B50" authorId="0">
      <x:text>
        <x:r>
          <x:t>Source / method:
https://www.similarweb.com/website/sandiegogulls.com/
Note:
Similarweb estimate used for current-year anchor; earlier years trended conservatively.</x:t>
        </x:r>
      </x:text>
    </x:comment>
    <x:comment ref="B51" authorId="0">
      <x:text>
        <x:r>
          <x:t>Source / method:
https://www.similarweb.com/website/sandiegogulls.com/
Note:
Similarweb estimate anchor for current-year and trended historical/projection values.</x:t>
        </x:r>
      </x:text>
    </x:comment>
    <x:comment ref="B52" authorId="0">
      <x:text>
        <x:r>
          <x:t>Source / method:
https://www.similarweb.com/website/sandiegogulls.com/
Note:
Similarweb estimate anchor for current-year and trended historical/projection values.</x:t>
        </x:r>
      </x:text>
    </x:comment>
    <x:comment ref="B53" authorId="0">
      <x:text>
        <x:r>
          <x:t>Source / method:
https://www.similarweb.com/website/sandiegogulls.com/
Note:
Similarweb estimate anchor for current-year and trended historical/projection values.</x:t>
        </x:r>
      </x:text>
    </x:comment>
    <x:comment ref="B54" authorId="0">
      <x:text>
        <x:r>
          <x:t>Source / method:
https://www.similarweb.com/website/sandiegogulls.com/
Note:
Similarweb estimate anchor for current-year and trended historical/projection values.</x:t>
        </x:r>
      </x:text>
    </x:comment>
    <x:comment ref="B55" authorId="0">
      <x:text>
        <x:r>
          <x:t>Source / method:
Model methodology
Note:
Modeled CAC based on digital footprint and minor-league paid media economics.</x:t>
        </x:r>
      </x:text>
    </x:comment>
    <x:comment ref="B56" authorId="0">
      <x:text>
        <x:r>
          <x:t>Source / method:
Model methodology
Note:
Modeled fan-sentiment proxy; not an official survey result.</x:t>
        </x:r>
      </x:text>
    </x:comment>
    <x:comment ref="B57" authorId="0">
      <x:text>
        <x:r>
          <x:t>Source / method:
Lease-era reporting / model assumption
Note:
Modeled from current lease-era surcharge structure discussed in public reporting; pre-lease years not confirmed.</x:t>
        </x:r>
      </x:text>
    </x:comment>
    <x:comment ref="B58" authorId="0">
      <x:text>
        <x:r>
          <x:t>Source / method:
https://www.lee-associates.com/elee/utc/newsletter/091224/article3.pdf
Note:
Public arena-level lease floor for operator; team sublease economics are not public. 2026-27 assumes ~2% step-up.</x:t>
        </x:r>
      </x:text>
    </x:comment>
    <x:comment ref="B59" authorId="0">
      <x:text>
        <x:r>
          <x:t>Source / method:
Lease-era reporting / model assumption
Note:
Derived from annualized minimum rent floor progression.</x:t>
        </x:r>
      </x:text>
    </x:comment>
    <x:comment ref="B60" authorId="0">
      <x:text>
        <x:r>
          <x:t>Source / method:
https://www.sandiego.gov/sites/default/files/specialeventsopsmanual2020.pdf
Note:
Modeled event security cost using city event-policing framework and arena setting.</x:t>
        </x:r>
      </x:text>
    </x:comment>
    <x:comment ref="B61" authorId="0">
      <x:text>
        <x:r>
          <x:t>Source / method:
Model methodology
Note:
Modeled annual utilities / ice / cooling cost allocation for hockey dates.</x:t>
        </x:r>
      </x:text>
    </x:comment>
    <x:comment ref="B62" authorId="0">
      <x:text>
        <x:r>
          <x:t>Source / method:
Model methodology
Note:
Modeled annual conversion cost allocation for a mixed-use arena.</x:t>
        </x:r>
      </x:text>
    </x:comment>
    <x:comment ref="B63" authorId="0">
      <x:text>
        <x:r>
          <x:t>Source / method:
Public review
Note:
No public team-side assessment identified in reviewed materials.</x:t>
        </x:r>
      </x:text>
    </x:comment>
    <x:comment ref="B64" authorId="0">
      <x:text>
        <x:r>
          <x:t>Source / method:
https://www.sandiego.gov/economic-development/real-estate/midway-rising
Note:
Directional planning metric keyed to interim lease / redevelopment timeline, not a legal opinion.</x:t>
        </x:r>
      </x:text>
    </x:comment>
    <x:comment ref="B65" authorId="0">
      <x:text>
        <x:r>
          <x:t>Source / method:
Model methodology
Note:
Logical annual value attributed to team operations from arena-level naming-rights ecosystem; not publicly disclosed by team.</x:t>
        </x:r>
      </x:text>
    </x:comment>
    <x:comment ref="B66" authorId="0">
      <x:text>
        <x:r>
          <x:t>Source / method:
Model methodology
Note:
Logical placeholder for local tax / business filing burden; not publicly disclosed.</x:t>
        </x:r>
      </x:text>
    </x:comment>
    <x:comment ref="B67" authorId="0">
      <x:text>
        <x:r>
          <x:t>Source / method:
Model methodology
Note:
No public debt structure found; nominal placeholder only.</x:t>
        </x:r>
      </x:text>
    </x:comment>
    <x:comment ref="B68" authorId="0">
      <x:text>
        <x:r>
          <x:t>Source / method:
Multiple official roster/game notes sources
Note:
Opening night / current roster anchors from official materials and current roster page.</x:t>
        </x:r>
      </x:text>
    </x:comment>
    <x:comment ref="B69" authorId="0">
      <x:text>
        <x:r>
          <x:t>Source / method:
Model methodology
Note:
Modeled head coach + assistants + video support payroll for NHL-owned AHL team.</x:t>
        </x:r>
      </x:text>
    </x:comment>
    <x:comment ref="B70" authorId="0">
      <x:text>
        <x:r>
          <x:t>Source / method:
https://www.linkedin.com/company/san-diego-gulls
Note:
Estimated from official front-office listings and LinkedIn company-size context.</x:t>
        </x:r>
      </x:text>
    </x:comment>
    <x:comment ref="B71" authorId="0">
      <x:text>
        <x:r>
          <x:t>Source / method:
Model methodology
Note:
Modeled training / recovery / sports science spend allocation.</x:t>
        </x:r>
      </x:text>
    </x:comment>
    <x:comment ref="B72" authorId="0">
      <x:text>
        <x:r>
          <x:t>Source / method:
Model methodology
Note:
Share of road schedule requiring flights or long-haul travel rather than short bus trips.</x:t>
        </x:r>
      </x:text>
    </x:comment>
    <x:comment ref="B73" authorId="0">
      <x:text>
        <x:r>
          <x:t>Source / method:
Model methodology
Note:
Modeled housing stipend / support budget for San Diego market.</x:t>
        </x:r>
      </x:text>
    </x:comment>
    <x:comment ref="B74" authorId="0">
      <x:text>
        <x:r>
          <x:t>Source / method:
https://phpa.com/site/agreements
Note:
Public PHPA minimum visible for 2024-25; other years benchmarked / stepped.</x:t>
        </x:r>
      </x:text>
    </x:comment>
    <x:comment ref="B75" authorId="0">
      <x:text>
        <x:r>
          <x:t>Source / method:
Model methodology
Note:
Modeled non-NHL-contracted average salary.</x:t>
        </x:r>
      </x:text>
    </x:comment>
    <x:comment ref="B76" authorId="0">
      <x:text>
        <x:r>
          <x:t>Source / method:
Model methodology
Note:
Modeled workers' comp / liability / sports risk coverage allocation.</x:t>
        </x:r>
      </x:text>
    </x:comment>
    <x:comment ref="B77" authorId="0">
      <x:text>
        <x:r>
          <x:t>Source / method:
Model methodology
Note:
Modeled annual equipment budget.</x:t>
        </x:r>
      </x:text>
    </x:comment>
    <x:comment ref="B78" authorId="0">
      <x:text>
        <x:r>
          <x:t>Source / method:
Multiple official roster/game notes sources
Note:
Approximate Ducks-controlled development pipeline count; 2024 opening-night game notes cited nine drafted players.</x:t>
        </x:r>
      </x:text>
    </x:comment>
    <x:comment ref="B79" authorId="0">
      <x:text>
        <x:r>
          <x:t>Source / method:
Model methodology
Note:
Modeled payroll / hockey ops support absorbed by Anaheim Ducks in NHL-owned affiliate structure.</x:t>
        </x:r>
      </x:text>
    </x:comment>
    <x:comment ref="B80" authorId="0">
      <x:text>
        <x:r>
          <x:t>Source / method:
Model methodology
Note:
Logical direct youth / grassroots revenue estimate attributable to club ecosystem.</x:t>
        </x:r>
      </x:text>
    </x:comment>
    <x:comment ref="B81" authorId="0">
      <x:text>
        <x:r>
          <x:t>Source / method:
https://www.sandiegogulls.com/community/foundation
Note:
Logical asset placeholder; foundation has publicly contributed over $1 million cumulatively but does not disclose current balance here.</x:t>
        </x:r>
      </x:text>
    </x:comment>
    <x:comment ref="B82" authorId="0">
      <x:text>
        <x:r>
          <x:t>Source / method:
Model methodology
Note:
Modeled cross-promotional / Ducks ecosystem value.</x:t>
        </x:r>
      </x:text>
    </x:comment>
    <x:comment ref="B83" authorId="0">
      <x:text>
        <x:r>
          <x:t>Source / method:
Model methodology
Note:
Logical brand-asset valuation placeholder.</x:t>
        </x:r>
      </x:text>
    </x:comment>
    <x:comment ref="B84" authorId="0">
      <x:text>
        <x:r>
          <x:t>Source / method:
Model control
Note:
User-directed valuation multiple.</x:t>
        </x:r>
      </x:text>
    </x:comment>
    <x:comment ref="B85" authorId="0">
      <x:text>
        <x:r>
          <x:t>Source / method:
Model control
Note:
User-directed valuation heuristic.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A2" authorId="0">
      <x:text>
        <x:r>
          <x:t>Projection control; applied to 2025-26 average attendance to set 2026-27 baseline.</x:t>
        </x:r>
      </x:text>
    </x:comment>
    <x:comment ref="A3" authorId="0">
      <x:text>
        <x:r>
          <x:t>Projection control; applied to 2025-26 modeled weighted average ticket price.</x:t>
        </x:r>
      </x:text>
    </x:comment>
    <x:comment ref="A4" authorId="0">
      <x:text>
        <x:r>
          <x:t>Projection control; applied to 2025-26 sponsorship estimate.</x:t>
        </x:r>
      </x:text>
    </x:comment>
    <x:comment ref="A5" authorId="0">
      <x:text>
        <x:r>
          <x:t>Projection control; applied to 2025-26 modeled F&amp;B per-cap.</x:t>
        </x:r>
      </x:text>
    </x:comment>
    <x:comment ref="A6" authorId="0">
      <x:text>
        <x:r>
          <x:t>Projection control; applied to 2025-26 modeled merchandise per-cap.</x:t>
        </x:r>
      </x:text>
    </x:comment>
    <x:comment ref="A7" authorId="0">
      <x:text>
        <x:r>
          <x:t>Projection control; applied to 2025-26 STM entry price.</x:t>
        </x:r>
      </x:text>
    </x:comment>
    <x:comment ref="A8" authorId="0">
      <x:text>
        <x:r>
          <x:t>Projection control; applied to 2025-26 single-game floor.</x:t>
        </x:r>
      </x:text>
    </x:comment>
    <x:comment ref="A9" authorId="0">
      <x:text>
        <x:r>
          <x:t>Projection control; applied to 2025-26 Similarweb visit estimate.</x:t>
        </x:r>
      </x:text>
    </x:comment>
    <x:comment ref="A10" authorId="0">
      <x:text>
        <x:r>
          <x:t>HockeyDB franchise history page for San Diego Gulls; 2026-27 projected from 2025-26 x growth control.</x:t>
        </x:r>
      </x:text>
    </x:comment>
    <x:comment ref="A11" authorId="0">
      <x:text>
        <x:r>
          <x:t>AHL schedules and season formats; 2021-22 was 68-game season (34 home), then 72-game seasons (36 home).</x:t>
        </x:r>
      </x:text>
    </x:comment>
    <x:comment ref="A12" authorId="0">
      <x:text>
        <x:r>
          <x:t>Media guide hockey capacity anchor used for RevPAS.</x:t>
        </x:r>
      </x:text>
    </x:comment>
    <x:comment ref="A13" authorId="0">
      <x:text>
        <x:r>
          <x:t>Current Pechanga Arena listed capacity.</x:t>
        </x:r>
      </x:text>
    </x:comment>
    <x:comment ref="A14" authorId="0">
      <x:text>
        <x:r>
          <x:t>Official yearly schedule releases.</x:t>
        </x:r>
      </x:text>
    </x:comment>
    <x:comment ref="A15" authorId="0">
      <x:text>
        <x:r>
          <x:t>Official yearly schedule releases.</x:t>
        </x:r>
      </x:text>
    </x:comment>
    <x:comment ref="A16" authorId="0">
      <x:text>
        <x:r>
          <x:t>Official yearly schedule releases; 2026-27 baseline projected mix.</x:t>
        </x:r>
      </x:text>
    </x:comment>
    <x:comment ref="A17" authorId="0">
      <x:text>
        <x:r>
          <x:t>Official yearly schedule releases; 2026-27 baseline projected mix.</x:t>
        </x:r>
      </x:text>
    </x:comment>
    <x:comment ref="A18" authorId="0">
      <x:text>
        <x:r>
          <x:t>Official yearly schedule releases / current ticket article for 2025-26.</x:t>
        </x:r>
      </x:text>
    </x:comment>
    <x:comment ref="A19" authorId="0">
      <x:text>
        <x:r>
          <x:t>Official promo schedule releases; 2025-26 uses 8 anniversary nights + 20 additional promotional nights. 2026-27 projected modest expansion.</x:t>
        </x:r>
      </x:text>
    </x:comment>
    <x:comment ref="A20" authorId="0">
      <x:text>
        <x:r>
          <x:t>Official promo schedule releases; 2025-26 currently lists five announced giveaways.</x:t>
        </x:r>
      </x:text>
    </x:comment>
    <x:comment ref="A21" authorId="0">
      <x:text>
        <x:r>
          <x:t>Official promo schedule releases; 2026-27 projected modest expansion.</x:t>
        </x:r>
      </x:text>
    </x:comment>
    <x:comment ref="A22" authorId="0">
      <x:text>
        <x:r>
          <x:t>Official Gulls Elite / schedule / home opener releases.</x:t>
        </x:r>
      </x:text>
    </x:comment>
    <x:comment ref="A23" authorId="0">
      <x:text>
        <x:r>
          <x:t>2021, 2022, 2023, 2025 are from official ticket on-sale articles; 2024-25 interpolated estimate because official 2024 floor was not captured in reviewed sources.</x:t>
        </x:r>
      </x:text>
    </x:comment>
    <x:comment ref="A24" authorId="0">
      <x:text>
        <x:r>
          <x:t>2025-26 official online floor incl. fees; 2024-25 and 2026-27 are modeled estimates around current fee architecture.</x:t>
        </x:r>
      </x:text>
    </x:comment>
    <x:comment ref="A25" authorId="0">
      <x:text>
        <x:r>
          <x:t>Official college ticket page current season; 2026-27 projected mild inflation.</x:t>
        </x:r>
      </x:text>
    </x:comment>
    <x:comment ref="A26" authorId="0">
      <x:text>
        <x:r>
          <x:t>Official current family pack page; used as current merchandising/ticket bundle anchor.</x:t>
        </x:r>
      </x:text>
    </x:comment>
    <x:comment ref="A27" authorId="0">
      <x:text>
        <x:r>
          <x:t>Official group page current; assumed stable historically.</x:t>
        </x:r>
      </x:text>
    </x:comment>
    <x:comment ref="A28" authorId="0">
      <x:text>
        <x:r>
          <x:t>Current mini-plan discounts are public; older-year values are conservative modeled placeholders to support trend analysis.</x:t>
        </x:r>
      </x:text>
    </x:comment>
    <x:comment ref="A29" authorId="0">
      <x:text>
        <x:r>
          <x:t>Modeled from STM entry floors, single-game floors, college pricing, family packs, and group/premium mix.</x:t>
        </x:r>
      </x:text>
    </x:comment>
    <x:comment ref="A30" authorId="0">
      <x:text>
        <x:r>
          <x:t>Logical range based on minor-league group channel importance; used as a model driver only.</x:t>
        </x:r>
      </x:text>
    </x:comment>
    <x:comment ref="A31" authorId="0">
      <x:text>
        <x:r>
          <x:t>Logical estimate of premium inventory revenue; treated as embedded within gate yield, not additive to avoid double-counting.</x:t>
        </x:r>
      </x:text>
    </x:comment>
    <x:comment ref="A32" authorId="0">
      <x:text>
        <x:r>
          <x:t>Modeled from attendance, STM pricing, and minor-league ticket mix benchmarks.</x:t>
        </x:r>
      </x:text>
    </x:comment>
    <x:comment ref="A33" authorId="0">
      <x:text>
        <x:r>
          <x:t>Modeled retention range based on affiliated minor-league season ticket behavior.</x:t>
        </x:r>
      </x:text>
    </x:comment>
    <x:comment ref="A34" authorId="0">
      <x:text>
        <x:r>
          <x:t>Modeled gross in-building F&amp;B spend per attendee using San Diego arena pricing context and minor-league benchmarks.</x:t>
        </x:r>
      </x:text>
    </x:comment>
    <x:comment ref="A35" authorId="0">
      <x:text>
        <x:r>
          <x:t>Logical commission rate placeholder because the team's actual arena F&amp;B split is private.</x:t>
        </x:r>
      </x:text>
    </x:comment>
    <x:comment ref="A36" authorId="0">
      <x:text>
        <x:r>
          <x:t>Modeled per-cap merchandise spend using minor-league team-store benchmarks.</x:t>
        </x:r>
      </x:text>
    </x:comment>
    <x:comment ref="A37" authorId="0">
      <x:text>
        <x:r>
          <x:t>Parking is event-specific and publicly listed on event pages; these are reasonable historical/current assumptions, not disclosed team averages.</x:t>
        </x:r>
      </x:text>
    </x:comment>
    <x:comment ref="A38" authorId="0">
      <x:text>
        <x:r>
          <x:t>Standard event attendance transport assumption for parking yield estimation.</x:t>
        </x:r>
      </x:text>
    </x:comment>
    <x:comment ref="A39" authorId="0">
      <x:text>
        <x:r>
          <x:t>No public Gulls-specific parking split was found; logical nominal team-side share only.</x:t>
        </x:r>
      </x:text>
    </x:comment>
    <x:comment ref="A40" authorId="0">
      <x:text>
        <x:r>
          <x:t>Modeled total sponsorship / partner revenue based on visible inventory depth, AHL benchmarks, and partner footprint.</x:t>
        </x:r>
      </x:text>
    </x:comment>
    <x:comment ref="A41" authorId="0">
      <x:text>
        <x:r>
          <x:t>Modeled anchor-partner value. Included within total sponsorship revenue.</x:t>
        </x:r>
      </x:text>
    </x:comment>
    <x:comment ref="A42" authorId="0">
      <x:text>
        <x:r>
          <x:t>Modeled jersey/patch branding value. Included within total sponsorship revenue.</x:t>
        </x:r>
      </x:text>
    </x:comment>
    <x:comment ref="A43" authorId="0">
      <x:text>
        <x:r>
          <x:t>Modeled 'presented by' / app / social / email / owned media inventory value. Included within total sponsorship revenue.</x:t>
        </x:r>
      </x:text>
    </x:comment>
    <x:comment ref="A44" authorId="0">
      <x:text>
        <x:r>
          <x:t>Modeled local TV + streaming share value; AHLTV / FloHockey is league-managed.</x:t>
        </x:r>
      </x:text>
    </x:comment>
    <x:comment ref="A45" authorId="0">
      <x:text>
        <x:r>
          <x:t>Modeled active owned-email scale using team digital footprint and typical sports CRM penetration.</x:t>
        </x:r>
      </x:text>
    </x:comment>
    <x:comment ref="A46" authorId="0">
      <x:text>
        <x:r>
          <x:t>Estimated aggregate audience across major social platforms; current public footprint includes roughly 79K Instagram, 30K X, 15K TikTok plus Facebook audience.</x:t>
        </x:r>
      </x:text>
    </x:comment>
    <x:comment ref="A47" authorId="0">
      <x:text>
        <x:r>
          <x:t>Similarweb estimate used for current-year anchor; earlier years trended conservatively.</x:t>
        </x:r>
      </x:text>
    </x:comment>
    <x:comment ref="A48" authorId="0">
      <x:text>
        <x:r>
          <x:t>Similarweb estimate anchor for current-year and trended historical/projection values.</x:t>
        </x:r>
      </x:text>
    </x:comment>
    <x:comment ref="A49" authorId="0">
      <x:text>
        <x:r>
          <x:t>Similarweb estimate anchor for current-year and trended historical/projection values.</x:t>
        </x:r>
      </x:text>
    </x:comment>
    <x:comment ref="A50" authorId="0">
      <x:text>
        <x:r>
          <x:t>Similarweb estimate anchor for current-year and trended historical/projection values.</x:t>
        </x:r>
      </x:text>
    </x:comment>
    <x:comment ref="A51" authorId="0">
      <x:text>
        <x:r>
          <x:t>Similarweb estimate anchor for current-year and trended historical/projection values.</x:t>
        </x:r>
      </x:text>
    </x:comment>
    <x:comment ref="A52" authorId="0">
      <x:text>
        <x:r>
          <x:t>Modeled CAC based on digital footprint and minor-league paid media economics.</x:t>
        </x:r>
      </x:text>
    </x:comment>
    <x:comment ref="A53" authorId="0">
      <x:text>
        <x:r>
          <x:t>Modeled fan-sentiment proxy; not an official survey result.</x:t>
        </x:r>
      </x:text>
    </x:comment>
    <x:comment ref="A54" authorId="0">
      <x:text>
        <x:r>
          <x:t>Modeled from current lease-era surcharge structure discussed in public reporting; pre-lease years not confirmed.</x:t>
        </x:r>
      </x:text>
    </x:comment>
    <x:comment ref="A55" authorId="0">
      <x:text>
        <x:r>
          <x:t>Public arena-level lease floor for operator; team sublease economics are not public. 2026-27 assumes ~2% step-up.</x:t>
        </x:r>
      </x:text>
    </x:comment>
    <x:comment ref="A56" authorId="0">
      <x:text>
        <x:r>
          <x:t>Derived from annualized minimum rent floor progression.</x:t>
        </x:r>
      </x:text>
    </x:comment>
    <x:comment ref="A57" authorId="0">
      <x:text>
        <x:r>
          <x:t>Modeled event security cost using city event-policing framework and arena setting.</x:t>
        </x:r>
      </x:text>
    </x:comment>
    <x:comment ref="A58" authorId="0">
      <x:text>
        <x:r>
          <x:t>Modeled annual utilities / ice / cooling cost allocation for hockey dates.</x:t>
        </x:r>
      </x:text>
    </x:comment>
    <x:comment ref="A59" authorId="0">
      <x:text>
        <x:r>
          <x:t>Modeled annual conversion cost allocation for a mixed-use arena.</x:t>
        </x:r>
      </x:text>
    </x:comment>
    <x:comment ref="A60" authorId="0">
      <x:text>
        <x:r>
          <x:t>No public team-side assessment identified in reviewed materials.</x:t>
        </x:r>
      </x:text>
    </x:comment>
    <x:comment ref="A61" authorId="0">
      <x:text>
        <x:r>
          <x:t>Directional planning metric keyed to interim lease / redevelopment timeline, not a legal opinion.</x:t>
        </x:r>
      </x:text>
    </x:comment>
    <x:comment ref="A62" authorId="0">
      <x:text>
        <x:r>
          <x:t>Logical annual value attributed to team operations from arena-level naming-rights ecosystem; not publicly disclosed by team.</x:t>
        </x:r>
      </x:text>
    </x:comment>
    <x:comment ref="A63" authorId="0">
      <x:text>
        <x:r>
          <x:t>Logical placeholder for local tax / business filing burden; not publicly disclosed.</x:t>
        </x:r>
      </x:text>
    </x:comment>
    <x:comment ref="A64" authorId="0">
      <x:text>
        <x:r>
          <x:t>No public debt structure found; nominal placeholder only.</x:t>
        </x:r>
      </x:text>
    </x:comment>
    <x:comment ref="A65" authorId="0">
      <x:text>
        <x:r>
          <x:t>Opening night / current roster anchors from official materials and current roster page.</x:t>
        </x:r>
      </x:text>
    </x:comment>
    <x:comment ref="A66" authorId="0">
      <x:text>
        <x:r>
          <x:t>Modeled head coach + assistants + video support payroll for NHL-owned AHL team.</x:t>
        </x:r>
      </x:text>
    </x:comment>
    <x:comment ref="A67" authorId="0">
      <x:text>
        <x:r>
          <x:t>Estimated from official front-office listings and LinkedIn company-size context.</x:t>
        </x:r>
      </x:text>
    </x:comment>
    <x:comment ref="A68" authorId="0">
      <x:text>
        <x:r>
          <x:t>Modeled training / recovery / sports science spend allocation.</x:t>
        </x:r>
      </x:text>
    </x:comment>
    <x:comment ref="A69" authorId="0">
      <x:text>
        <x:r>
          <x:t>Share of road schedule requiring flights or long-haul travel rather than short bus trips.</x:t>
        </x:r>
      </x:text>
    </x:comment>
    <x:comment ref="A70" authorId="0">
      <x:text>
        <x:r>
          <x:t>Modeled housing stipend / support budget for San Diego market.</x:t>
        </x:r>
      </x:text>
    </x:comment>
    <x:comment ref="A71" authorId="0">
      <x:text>
        <x:r>
          <x:t>Public PHPA minimum visible for 2024-25; other years benchmarked / stepped.</x:t>
        </x:r>
      </x:text>
    </x:comment>
    <x:comment ref="A72" authorId="0">
      <x:text>
        <x:r>
          <x:t>Modeled non-NHL-contracted average salary.</x:t>
        </x:r>
      </x:text>
    </x:comment>
    <x:comment ref="A73" authorId="0">
      <x:text>
        <x:r>
          <x:t>Modeled workers' comp / liability / sports risk coverage allocation.</x:t>
        </x:r>
      </x:text>
    </x:comment>
    <x:comment ref="A74" authorId="0">
      <x:text>
        <x:r>
          <x:t>Modeled annual equipment budget.</x:t>
        </x:r>
      </x:text>
    </x:comment>
    <x:comment ref="A75" authorId="0">
      <x:text>
        <x:r>
          <x:t>Approximate Ducks-controlled development pipeline count; 2024 opening-night game notes cited nine drafted players.</x:t>
        </x:r>
      </x:text>
    </x:comment>
    <x:comment ref="A76" authorId="0">
      <x:text>
        <x:r>
          <x:t>Modeled payroll / hockey ops support absorbed by Anaheim Ducks in NHL-owned affiliate structure.</x:t>
        </x:r>
      </x:text>
    </x:comment>
    <x:comment ref="A77" authorId="0">
      <x:text>
        <x:r>
          <x:t>Logical direct youth / grassroots revenue estimate attributable to club ecosystem.</x:t>
        </x:r>
      </x:text>
    </x:comment>
    <x:comment ref="A78" authorId="0">
      <x:text>
        <x:r>
          <x:t>Logical asset placeholder; foundation has publicly contributed over $1 million cumulatively but does not disclose current balance here.</x:t>
        </x:r>
      </x:text>
    </x:comment>
    <x:comment ref="A79" authorId="0">
      <x:text>
        <x:r>
          <x:t>Modeled cross-promotional / Ducks ecosystem value.</x:t>
        </x:r>
      </x:text>
    </x:comment>
    <x:comment ref="A80" authorId="0">
      <x:text>
        <x:r>
          <x:t>Logical brand-asset valuation placeholder.</x:t>
        </x:r>
      </x:text>
    </x:comment>
    <x:comment ref="A81" authorId="0">
      <x:text>
        <x:r>
          <x:t>User-directed valuation multiple.</x:t>
        </x:r>
      </x:text>
    </x:comment>
    <x:comment ref="A82" authorId="0">
      <x:text>
        <x:r>
          <x:t>User-directed valuation heuristic.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#,##0;[Red](#,##0);-"/>
    <x:numFmt numFmtId="165" formatCode="$#,##0;[Red]($#,##0);-"/>
    <x:numFmt numFmtId="166" formatCode="0.0%"/>
    <x:numFmt numFmtId="167" formatCode="$#,##0.00;[Red]($#,##0.00);-"/>
    <x:numFmt numFmtId="168" formatCode="0.0x"/>
  </x:numFmts>
  <x:fonts count="10">
    <x:font>
      <x:sz val="11"/>
      <x:color theme="1"/>
      <x:name val="Calibri"/>
      <x:family val="2"/>
      <x:scheme val="minor"/>
    </x:font>
    <x:font>
      <x:b/>
      <x:sz val="18"/>
      <x:color rgb="00FFFFFF"/>
      <x:name val="Calibri"/>
    </x:font>
    <x:font>
      <x:sz val="9"/>
      <x:color rgb="00666666"/>
      <x:name val="Calibri"/>
    </x:font>
    <x:font>
      <x:b/>
      <x:sz val="11"/>
      <x:color rgb="00FFFFFF"/>
      <x:name val="Calibri"/>
    </x:font>
    <x:font>
      <x:b/>
      <x:sz val="10"/>
      <x:color rgb="00000000"/>
      <x:name val="Calibri"/>
    </x:font>
    <x:font>
      <x:sz val="10"/>
      <x:color rgb="00000000"/>
      <x:name val="Calibri"/>
    </x:font>
    <x:font>
      <x:sz val="10"/>
      <x:color rgb="000000FF"/>
      <x:name val="Calibri"/>
    </x:font>
    <x:font>
      <x:sz val="10"/>
      <x:color rgb="00008000"/>
      <x:name val="Calibri"/>
    </x:font>
    <x:font>
      <x:b/>
      <x:sz val="9"/>
      <x:color rgb="00666666"/>
      <x:name val="Calibri"/>
    </x:font>
    <x:font>
      <x:b/>
      <x:sz val="16"/>
      <x:color rgb="00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0017365D"/>
      </x:patternFill>
    </x:fill>
    <x:fill>
      <x:patternFill patternType="solid">
        <x:fgColor rgb="001F4E78"/>
      </x:patternFill>
    </x:fill>
    <x:fill>
      <x:patternFill patternType="solid">
        <x:fgColor rgb="00FFF2CC"/>
      </x:patternFill>
    </x:fill>
    <x:fill>
      <x:patternFill patternType="solid">
        <x:fgColor rgb="00DDEBF7"/>
      </x:patternFill>
    </x:fill>
    <x:fill>
      <x:patternFill patternType="solid">
        <x:fgColor rgb="00D9EAD3"/>
      </x:patternFill>
    </x:fill>
    <x:fill>
      <x:patternFill patternType="solid">
        <x:fgColor rgb="00F3F3F3"/>
      </x:patternFill>
    </x:fill>
  </x:fills>
  <x:borders count="3">
    <x:border>
      <x:left/>
      <x:right/>
      <x:top/>
      <x:bottom/>
      <x:diagonal/>
    </x:border>
    <x:border>
      <x:top style="medium">
        <x:color rgb="001F4E78"/>
      </x:top>
      <x:bottom style="thin">
        <x:color rgb="00D9D9D9"/>
      </x:bottom>
    </x:border>
    <x:border>
      <x:top style="medium">
        <x:color rgb="001F4E78"/>
      </x:top>
    </x:border>
  </x:borders>
  <x:cellStyleXfs count="1">
    <x:xf numFmtId="0" fontId="0" fillId="0" borderId="0"/>
  </x:cellStyleXfs>
  <x:cellXfs count="91">
    <x:xf numFmtId="0" fontId="0" fillId="0" borderId="0" xfId="0"/>
    <x:xf numFmtId="0" fontId="1" fillId="2" borderId="0" xfId="0" applyAlignment="1">
      <x:alignment vertical="center"/>
    </x:xf>
    <x:xf numFmtId="0" fontId="2" fillId="0" borderId="0" xfId="0" applyAlignment="1">
      <x:alignment vertical="center"/>
    </x:xf>
    <x:xf numFmtId="0" fontId="8" fillId="5" borderId="0" xfId="0" applyAlignment="1">
      <x:alignment vertical="center"/>
    </x:xf>
    <x:xf numFmtId="0" fontId="0" fillId="5" borderId="0" xfId="0"/>
    <x:xf numFmtId="164" fontId="9" fillId="6" borderId="0" xfId="0" applyAlignment="1">
      <x:alignment horizontal="center"/>
    </x:xf>
    <x:xf numFmtId="0" fontId="0" fillId="6" borderId="0" xfId="0"/>
    <x:xf numFmtId="165" fontId="9" fillId="6" borderId="0" xfId="0" applyAlignment="1">
      <x:alignment horizontal="center"/>
    </x:xf>
    <x:xf numFmtId="0" fontId="5" fillId="7" borderId="0" xfId="0" applyAlignment="1">
      <x:alignment vertical="top" wrapText="1"/>
    </x:xf>
    <x:xf numFmtId="0" fontId="3" fillId="3" borderId="0" xfId="0" applyAlignment="1">
      <x:alignment horizontal="center" vertical="center"/>
    </x:xf>
    <x:xf numFmtId="0" fontId="4" fillId="0" borderId="1" xfId="0" applyAlignment="1">
      <x:alignment vertical="center"/>
    </x:xf>
    <x:xf numFmtId="0" fontId="5" fillId="0" borderId="1" xfId="0" applyAlignment="1">
      <x:alignment vertical="center"/>
    </x:xf>
    <x:xf numFmtId="166" fontId="0" fillId="0" borderId="1" xfId="0"/>
    <x:xf numFmtId="166" fontId="6" fillId="4" borderId="1" xfId="0" applyAlignment="1">
      <x:alignment vertical="center"/>
    </x:xf>
    <x:xf numFmtId="0" fontId="2" fillId="0" borderId="1" xfId="0" applyAlignment="1">
      <x:alignment vertical="center"/>
    </x:xf>
    <x:xf numFmtId="0" fontId="4" fillId="0" borderId="0" xfId="0" applyAlignment="1">
      <x:alignment vertical="center"/>
    </x:xf>
    <x:xf numFmtId="0" fontId="5" fillId="0" borderId="0" xfId="0" applyAlignment="1">
      <x:alignment vertical="center"/>
    </x:xf>
    <x:xf numFmtId="166" fontId="0" fillId="0" borderId="0" xfId="0"/>
    <x:xf numFmtId="166" fontId="6" fillId="4" borderId="0" xfId="0" applyAlignment="1">
      <x:alignment vertical="center"/>
    </x:xf>
    <x:xf numFmtId="164" fontId="6" fillId="4" borderId="1" xfId="0" applyAlignment="1">
      <x:alignment vertical="center"/>
    </x:xf>
    <x:xf numFmtId="164" fontId="5" fillId="0" borderId="1" xfId="0" applyAlignment="1">
      <x:alignment vertical="center"/>
    </x:xf>
    <x:xf numFmtId="164" fontId="6" fillId="4" borderId="0" xfId="0" applyAlignment="1">
      <x:alignment vertical="center"/>
    </x:xf>
    <x:xf numFmtId="167" fontId="6" fillId="4" borderId="1" xfId="0" applyAlignment="1">
      <x:alignment vertical="center"/>
    </x:xf>
    <x:xf numFmtId="167" fontId="5" fillId="0" borderId="1" xfId="0" applyAlignment="1">
      <x:alignment vertical="center"/>
    </x:xf>
    <x:xf numFmtId="167" fontId="6" fillId="4" borderId="0" xfId="0" applyAlignment="1">
      <x:alignment vertical="center"/>
    </x:xf>
    <x:xf numFmtId="167" fontId="5" fillId="0" borderId="0" xfId="0" applyAlignment="1">
      <x:alignment vertical="center"/>
    </x:xf>
    <x:xf numFmtId="167" fontId="0" fillId="0" borderId="0" xfId="0"/>
    <x:xf numFmtId="165" fontId="6" fillId="4" borderId="0" xfId="0" applyAlignment="1">
      <x:alignment vertical="center"/>
    </x:xf>
    <x:xf numFmtId="4" fontId="6" fillId="4" borderId="0" xfId="0" applyAlignment="1">
      <x:alignment vertical="center"/>
    </x:xf>
    <x:xf numFmtId="165" fontId="6" fillId="4" borderId="1" xfId="0" applyAlignment="1">
      <x:alignment vertical="center"/>
    </x:xf>
    <x:xf numFmtId="164" fontId="5" fillId="0" borderId="0" xfId="0" applyAlignment="1">
      <x:alignment vertical="center"/>
    </x:xf>
    <x:xf numFmtId="167" fontId="0" fillId="0" borderId="1" xfId="0"/>
    <x:xf numFmtId="164" fontId="0" fillId="0" borderId="0" xfId="0"/>
    <x:xf numFmtId="168" fontId="6" fillId="4" borderId="1" xfId="0" applyAlignment="1">
      <x:alignment vertical="center"/>
    </x:xf>
    <x:xf numFmtId="0" fontId="3" fillId="2" borderId="0" xfId="0" applyAlignment="1">
      <x:alignment vertical="center"/>
    </x:xf>
    <x:xf numFmtId="164" fontId="7" fillId="0" borderId="0" xfId="0" applyAlignment="1">
      <x:alignment vertical="center"/>
    </x:xf>
    <x:xf numFmtId="0" fontId="5" fillId="0" borderId="0" xfId="0" applyAlignment="1">
      <x:alignment wrapText="1"/>
    </x:xf>
    <x:xf numFmtId="165" fontId="7" fillId="0" borderId="0" xfId="0" applyAlignment="1">
      <x:alignment vertical="center"/>
    </x:xf>
    <x:xf numFmtId="165" fontId="5" fillId="0" borderId="0" xfId="0" applyAlignment="1">
      <x:alignment vertical="center"/>
    </x:xf>
    <x:xf numFmtId="166" fontId="7" fillId="0" borderId="0" xfId="0" applyAlignment="1">
      <x:alignment vertical="center"/>
    </x:xf>
    <x:xf numFmtId="0" fontId="2" fillId="0" borderId="2" xfId="0" applyAlignment="1">
      <x:alignment vertical="center"/>
    </x:xf>
    <x:xf numFmtId="0" fontId="5" fillId="0" borderId="2" xfId="0" applyAlignment="1">
      <x:alignment vertical="center"/>
    </x:xf>
    <x:xf numFmtId="0" fontId="4" fillId="0" borderId="2" xfId="0" applyAlignment="1">
      <x:alignment vertical="center"/>
    </x:xf>
    <x:xf numFmtId="165" fontId="5" fillId="0" borderId="2" xfId="0" applyAlignment="1">
      <x:alignment vertical="center"/>
    </x:xf>
    <x:xf numFmtId="0" fontId="5" fillId="0" borderId="2" xfId="0" applyAlignment="1">
      <x:alignment wrapText="1"/>
    </x:xf>
    <x:xf numFmtId="4" fontId="7" fillId="0" borderId="0" xfId="0" applyAlignment="1">
      <x:alignment vertical="center"/>
    </x:xf>
    <x:xf numFmtId="166" fontId="5" fillId="0" borderId="0" xfId="0" applyAlignment="1">
      <x:alignment vertical="center"/>
    </x:xf>
    <x:xf numFmtId="168" fontId="7" fillId="0" borderId="0" xfId="0" applyAlignment="1">
      <x:alignment vertical="center"/>
    </x:xf>
    <x:xf numFmtId="165" fontId="9" fillId="6" borderId="0" xfId="0" applyAlignment="1">
      <x:alignment horizontal="center" vertical="center"/>
    </x:xf>
    <x:xf numFmtId="164" fontId="9" fillId="6" borderId="0" xfId="0" applyAlignment="1">
      <x:alignment horizontal="center" vertical="center"/>
    </x:xf>
    <x:xf numFmtId="0" fontId="3" fillId="3" borderId="0" xfId="0" applyAlignment="1">
      <x:alignment vertical="center"/>
    </x:xf>
    <x:xf numFmtId="0" fontId="0" fillId="0" borderId="0" xfId="0" applyAlignment="1">
      <x:alignment vertical="center"/>
    </x:xf>
    <x:xf numFmtId="166" fontId="0" fillId="0" borderId="0" xfId="0" applyAlignment="1">
      <x:alignment vertical="center"/>
    </x:xf>
    <x:xf numFmtId="164" fontId="0" fillId="0" borderId="0" xfId="0" applyAlignment="1">
      <x:alignment vertical="center"/>
    </x:xf>
    <x:xf numFmtId="167" fontId="0" fillId="0" borderId="0" xfId="0" applyAlignment="1">
      <x:alignment vertical="center"/>
    </x:xf>
    <x:xf numFmtId="165" fontId="0" fillId="0" borderId="0" xfId="0"/>
    <x:xf numFmtId="165" fontId="0" fillId="0" borderId="0" xfId="0" applyAlignment="1">
      <x:alignment vertical="center"/>
    </x:xf>
    <x:xf numFmtId="4" fontId="0" fillId="0" borderId="0" xfId="0" applyAlignment="1">
      <x:alignment vertical="center"/>
    </x:xf>
    <x:xf numFmtId="168" fontId="0" fillId="0" borderId="0" xfId="0" applyAlignment="1">
      <x:alignment vertical="center"/>
    </x:xf>
    <x:xf numFmtId="164" fontId="9" fillId="6" borderId="0" xfId="0" applyAlignment="1">
      <x:alignment horizontal="center"/>
    </x:xf>
    <x:xf numFmtId="165" fontId="9" fillId="6" borderId="0" xfId="0" applyAlignment="1">
      <x:alignment horizontal="center"/>
    </x:xf>
    <x:xf numFmtId="166" fontId="0" fillId="0" borderId="1" xfId="0"/>
    <x:xf numFmtId="166" fontId="6" fillId="4" borderId="1" xfId="0" applyAlignment="1">
      <x:alignment vertical="center"/>
    </x:xf>
    <x:xf numFmtId="166" fontId="0" fillId="0" borderId="0" xfId="0"/>
    <x:xf numFmtId="166" fontId="6" fillId="4" borderId="0" xfId="0" applyAlignment="1">
      <x:alignment vertical="center"/>
    </x:xf>
    <x:xf numFmtId="164" fontId="6" fillId="4" borderId="1" xfId="0" applyAlignment="1">
      <x:alignment vertical="center"/>
    </x:xf>
    <x:xf numFmtId="164" fontId="5" fillId="0" borderId="1" xfId="0" applyAlignment="1">
      <x:alignment vertical="center"/>
    </x:xf>
    <x:xf numFmtId="164" fontId="6" fillId="4" borderId="0" xfId="0" applyAlignment="1">
      <x:alignment vertical="center"/>
    </x:xf>
    <x:xf numFmtId="167" fontId="6" fillId="4" borderId="1" xfId="0" applyAlignment="1">
      <x:alignment vertical="center"/>
    </x:xf>
    <x:xf numFmtId="167" fontId="5" fillId="0" borderId="1" xfId="0" applyAlignment="1">
      <x:alignment vertical="center"/>
    </x:xf>
    <x:xf numFmtId="167" fontId="6" fillId="4" borderId="0" xfId="0" applyAlignment="1">
      <x:alignment vertical="center"/>
    </x:xf>
    <x:xf numFmtId="167" fontId="5" fillId="0" borderId="0" xfId="0" applyAlignment="1">
      <x:alignment vertical="center"/>
    </x:xf>
    <x:xf numFmtId="167" fontId="0" fillId="0" borderId="0" xfId="0"/>
    <x:xf numFmtId="165" fontId="6" fillId="4" borderId="0" xfId="0" applyAlignment="1">
      <x:alignment vertical="center"/>
    </x:xf>
    <x:xf numFmtId="165" fontId="6" fillId="4" borderId="1" xfId="0" applyAlignment="1">
      <x:alignment vertical="center"/>
    </x:xf>
    <x:xf numFmtId="164" fontId="5" fillId="0" borderId="0" xfId="0" applyAlignment="1">
      <x:alignment vertical="center"/>
    </x:xf>
    <x:xf numFmtId="167" fontId="0" fillId="0" borderId="1" xfId="0"/>
    <x:xf numFmtId="164" fontId="0" fillId="0" borderId="0" xfId="0"/>
    <x:xf numFmtId="164" fontId="7" fillId="0" borderId="0" xfId="0" applyAlignment="1">
      <x:alignment vertical="center"/>
    </x:xf>
    <x:xf numFmtId="165" fontId="7" fillId="0" borderId="0" xfId="0" applyAlignment="1">
      <x:alignment vertical="center"/>
    </x:xf>
    <x:xf numFmtId="165" fontId="5" fillId="0" borderId="0" xfId="0" applyAlignment="1">
      <x:alignment vertical="center"/>
    </x:xf>
    <x:xf numFmtId="166" fontId="7" fillId="0" borderId="0" xfId="0" applyAlignment="1">
      <x:alignment vertical="center"/>
    </x:xf>
    <x:xf numFmtId="165" fontId="5" fillId="0" borderId="2" xfId="0" applyAlignment="1">
      <x:alignment vertical="center"/>
    </x:xf>
    <x:xf numFmtId="166" fontId="5" fillId="0" borderId="0" xfId="0" applyAlignment="1">
      <x:alignment vertical="center"/>
    </x:xf>
    <x:xf numFmtId="165" fontId="9" fillId="6" borderId="0" xfId="0" applyAlignment="1">
      <x:alignment horizontal="center" vertical="center"/>
    </x:xf>
    <x:xf numFmtId="164" fontId="9" fillId="6" borderId="0" xfId="0" applyAlignment="1">
      <x:alignment horizontal="center" vertical="center"/>
    </x:xf>
    <x:xf numFmtId="166" fontId="0" fillId="0" borderId="0" xfId="0" applyAlignment="1">
      <x:alignment vertical="center"/>
    </x:xf>
    <x:xf numFmtId="164" fontId="0" fillId="0" borderId="0" xfId="0" applyAlignment="1">
      <x:alignment vertical="center"/>
    </x:xf>
    <x:xf numFmtId="167" fontId="0" fillId="0" borderId="0" xfId="0" applyAlignment="1">
      <x:alignment vertical="center"/>
    </x:xf>
    <x:xf numFmtId="165" fontId="0" fillId="0" borderId="0" xfId="0"/>
    <x:xf numFmtId="165" fontId="0" fillId="0" borderId="0" xfId="0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46750499b480c" /><Relationship Type="http://schemas.openxmlformats.org/officeDocument/2006/relationships/theme" Target="/xl/theme/theme1.xml" Id="R22e5a66e03c148e6" /><Relationship Type="http://schemas.openxmlformats.org/officeDocument/2006/relationships/sharedStrings" Target="/xl/sharedStrings.xml" Id="Rcdac6772658e4a4c" /><Relationship Type="http://schemas.openxmlformats.org/officeDocument/2006/relationships/worksheet" Target="/xl/worksheets/sheet1.xml" Id="Re51e28892a024506" /><Relationship Type="http://schemas.openxmlformats.org/officeDocument/2006/relationships/worksheet" Target="/xl/worksheets/sheet2.xml" Id="Raf4f45d131e54e13" /><Relationship Type="http://schemas.openxmlformats.org/officeDocument/2006/relationships/worksheet" Target="/xl/worksheets/sheet3.xml" Id="R41fb9987b1b9482c" /><Relationship Type="http://schemas.openxmlformats.org/officeDocument/2006/relationships/worksheet" Target="/xl/worksheets/sheet4.xml" Id="R135a39d327f6488d" /><Relationship Type="http://schemas.openxmlformats.org/officeDocument/2006/relationships/worksheet" Target="/xl/worksheets/sheet5.xml" Id="R36c3c5578a4d4783" /><Relationship Type="http://schemas.openxmlformats.org/officeDocument/2006/relationships/worksheet" Target="/xl/worksheets/sheet6.xml" Id="R29ac3138fa1a480b" /><Relationship Type="http://schemas.microsoft.com/office/2017/10/relationships/person" Target="/xl/persons/person.xml" Id="R027b61e4314b43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b66fcb5412487f" /><Relationship Type="http://schemas.openxmlformats.org/officeDocument/2006/relationships/chart" Target="/xl/drawings/charts/chart2.xml" Id="Rc1eb203663cf494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4f83c880e3e342da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Attendance Trend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'Charts'!$B$1:$G$1</c:f>
              <c:strCache>
                <c:ptCount val="0"/>
              </c:strCache>
            </c:strRef>
          </c:cat>
          <c:val>
            <c:numRef>
              <c:f>'Charts'!$B$2:$G$2</c:f>
              <c:numCache>
                <c:formatCode/>
                <c:ptCount val="0"/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Season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Fans per game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and EBITDA Trend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ser>
          <c:idx val="0"/>
          <c:order val="0"/>
          <c:spPr>
            <a:ln xmlns:a="http://schemas.openxmlformats.org/drawingml/2006/main">
              <a:prstDash val="solid"/>
            </a:ln>
          </c:spPr>
          <c:cat>
            <c:strRef>
              <c:f>'Charts'!$B$1:$G$1</c:f>
              <c:strCache>
                <c:ptCount val="0"/>
              </c:strCache>
            </c:strRef>
          </c:cat>
          <c:val>
            <c:numRef>
              <c:f>'Charts'!$B$3:$G$3</c:f>
              <c:numCache>
                <c:formatCode/>
                <c:ptCount val="0"/>
              </c:numCache>
            </c:numRef>
          </c:val>
        </c:ser>
        <c:ser>
          <c:idx val="1"/>
          <c:order val="1"/>
          <c:spPr>
            <a:ln xmlns:a="http://schemas.openxmlformats.org/drawingml/2006/main">
              <a:prstDash val="solid"/>
            </a:ln>
          </c:spPr>
          <c:cat>
            <c:strRef>
              <c:f>'Charts'!$B$1:$G$1</c:f>
              <c:strCache>
                <c:ptCount val="0"/>
              </c:strCache>
            </c:strRef>
          </c:cat>
          <c:val>
            <c:numRef>
              <c:f>'Charts'!$B$4:$G$4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Season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USD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charts/chart3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2026-27 Baseline vs Upside Cases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ser>
          <c:idx val="0"/>
          <c:order val="0"/>
          <c:spPr>
            <a:ln xmlns:a="http://schemas.openxmlformats.org/drawingml/2006/main">
              <a:prstDash val="solid"/>
            </a:ln>
          </c:spPr>
          <c:cat>
            <c:strRef>
              <c:f>'Charts'!$B$8:$E$8</c:f>
              <c:strCache>
                <c:ptCount val="0"/>
              </c:strCache>
            </c:strRef>
          </c:cat>
          <c:val>
            <c:numRef>
              <c:f>'Charts'!$B$9:$E$9</c:f>
              <c:numCache>
                <c:formatCode/>
                <c:ptCount val="0"/>
              </c:numCache>
            </c:numRef>
          </c:val>
        </c:ser>
        <c:ser>
          <c:idx val="1"/>
          <c:order val="1"/>
          <c:spPr>
            <a:ln xmlns:a="http://schemas.openxmlformats.org/drawingml/2006/main">
              <a:prstDash val="solid"/>
            </a:ln>
          </c:spPr>
          <c:cat>
            <c:strRef>
              <c:f>'Charts'!$B$8:$E$8</c:f>
              <c:strCache>
                <c:ptCount val="0"/>
              </c:strCache>
            </c:strRef>
          </c:cat>
          <c:val>
            <c:numRef>
              <c:f>'Charts'!$B$10:$E$10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" sourceLinked="0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USD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b66fcb5412487f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eb203663cf494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21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83c880e3e342da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87346F0D-4CD1-7171-177B-BD2CF9C42E74}"/>
  <xltc:person displayName="OpenAI" id="{17ECC85C-F723-9FE4-69B3-2DA27E6D60B4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b0cc95378af40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bb89065c018b403c" /><Relationship Type="http://schemas.openxmlformats.org/officeDocument/2006/relationships/vmlDrawing" Target="/xl/drawings/vmldrawing.vml" Id="Rb9508eb92ce04b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04068bc10aff47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2.xml" Id="R565918a09da54501" /><Relationship Type="http://schemas.openxmlformats.org/officeDocument/2006/relationships/vmlDrawing" Target="/xl/drawings/vmldrawing2.vml" Id="R07f27ff4cfbf42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4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</x:cols>
  <x:sheetData>
    <x:row r="1">
      <x:c r="A1" s="1" t="inlineStr">
        <x:is>
          <x:t xml:space="preserve">San Diego Gulls — Forensic Model Workbook</x:t>
        </x:is>
      </x:c>
    </x:row>
    <x:row r="2">
      <x:c r="A2" s="2" t="inlineStr">
        <x:is>
          <x:t xml:space="preserve">Historical base: FY2021-22 to FY2025-26 public anchors + modeled estimates | Baseline projection: FY2026-27</x:t>
        </x:is>
      </x:c>
    </x:row>
    <x:row r="4">
      <x:c r="A4" s="3" t="inlineStr">
        <x:is>
          <x:t xml:space="preserve">2025-26 Avg Attendance</x:t>
        </x:is>
      </x:c>
      <x:c r="C4" s="3" t="inlineStr">
        <x:is>
          <x:t xml:space="preserve">2025-26 Gross Revenue</x:t>
        </x:is>
      </x:c>
      <x:c r="E4" s="3" t="inlineStr">
        <x:is>
          <x:t xml:space="preserve">2026-27 Gross Revenue</x:t>
        </x:is>
      </x:c>
      <x:c r="G4" s="3" t="inlineStr">
        <x:is>
          <x:t xml:space="preserve">2026-27 EBITDA</x:t>
        </x:is>
      </x:c>
      <x:c r="I4" s="3" t="inlineStr">
        <x:is>
          <x:t xml:space="preserve">2026-27 Valuation</x:t>
        </x:is>
      </x:c>
    </x:row>
    <x:row r="5">
      <x:c r="A5" s="59">
        <x:f>Master_Model!I6</x:f>
        <x:v>7403</x:v>
      </x:c>
      <x:c r="C5" s="60">
        <x:f>Master_Model!I52</x:f>
        <x:v>11210427.36</x:v>
      </x:c>
      <x:c r="E5" s="60">
        <x:f>Master_Model!J52</x:f>
        <x:v>12031865</x:v>
      </x:c>
      <x:c r="G5" s="60">
        <x:f>Master_Model!J98</x:f>
        <x:v>1682309</x:v>
      </x:c>
      <x:c r="I5" s="60">
        <x:f>Master_Model!J102</x:f>
        <x:v>38501968</x:v>
      </x:c>
    </x:row>
    <x:row r="6"/>
    <x:row r="8" ht="45" customHeight="1">
      <x:c r="A8" s="8" t="inlineStr">
        <x:is>
          <x:t xml:space="preserve">What this workbook does
• Converts publicly available Gulls data into a clean operating model.
• Separates public facts from logical estimates and projections.
• Gives an upside framework for attendance, ticket yield, ancillary spend and sponsorship.
Modeling discipline
• Public items are linked to the Assumptions and Source_Log tabs.
• Private economics (EBITDA, parking share, sponsorship mix, parent subsidy) are clearly labeled as modeled estimates.</x:t>
        </x:is>
      </x:c>
      <x:c r="G8" s="8" t="inlineStr">
        <x:is>
          <x:t xml:space="preserve">High-level readout
• Attendance recovered from 6,992 in 2021-22 to 7,403 in 2025-26.
• STM entry price rose from $476 to $614 over the same span.
• Promotional intensity expanded from 13 theme nights to 28 announced nights.
• The 2026-27 upside cases show how operational discipline can push revenue, EBITDA and implied franchise value higher.</x:t>
        </x:is>
      </x:c>
    </x:row>
    <x:row r="9" ht="45" customHeight="1"/>
    <x:row r="10" ht="45" customHeight="1"/>
    <x:row r="11" ht="45" customHeight="1"/>
    <x:row r="12" ht="45" customHeight="1"/>
  </x:sheetData>
  <x:mergeCells>
    <x:mergeCell ref="A4:B4"/>
    <x:mergeCell ref="G4:H4"/>
    <x:mergeCell ref="A2:L2"/>
    <x:mergeCell ref="E4:F4"/>
    <x:mergeCell ref="I4:J4"/>
    <x:mergeCell ref="G8:L12"/>
    <x:mergeCell ref="A1:L1"/>
    <x:mergeCell ref="C5:D6"/>
    <x:mergeCell ref="A5:B6"/>
    <x:mergeCell ref="G5:H6"/>
    <x:mergeCell ref="E5:F6"/>
    <x:mergeCell ref="I5:J6"/>
    <x:mergeCell ref="A8:F12"/>
    <x:mergeCell ref="C4:D4"/>
  </x:mergeCells>
  <x:pageMargins left="0.7" right="0.7" top="0.75" bottom="0.75" header="0.3" footer="0.3"/>
  <x:drawing xmlns:r="http://schemas.openxmlformats.org/officeDocument/2006/relationships" r:id="R3b0cc95378af400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customWidth="1"/>
    <x:col min="2" max="2" width="38" customWidth="1"/>
    <x:col min="3" max="3" width="11" customWidth="1"/>
    <x:col min="4" max="4" width="11" customWidth="1"/>
    <x:col min="5" max="5" width="11" customWidth="1"/>
    <x:col min="6" max="6" width="11" customWidth="1"/>
    <x:col min="7" max="7" width="11" customWidth="1"/>
    <x:col min="8" max="8" width="11" customWidth="1"/>
    <x:col min="9" max="9" width="14" customWidth="1"/>
    <x:col min="10" max="10" width="42" customWidth="1"/>
    <x:col min="11" max="11" width="16" customWidth="1"/>
  </x:cols>
  <x:sheetData>
    <x:row r="1">
      <x:c r="A1" s="1" t="inlineStr">
        <x:is>
          <x:t xml:space="preserve">San Diego Gulls — Assumptions &amp; Public Inputs</x:t>
        </x:is>
      </x:c>
    </x:row>
    <x:row r="2">
      <x:c r="A2" s="2" t="inlineStr">
        <x:is>
          <x:t xml:space="preserve">Blue-font cells are hardcoded historical inputs / modeled estimates. Black-font cells in 2026-27 are formula-driven projections where applicable.</x:t>
        </x:is>
      </x:c>
    </x:row>
    <x:row r="4">
      <x:c r="A4" s="9" t="inlineStr">
        <x:is>
          <x:t xml:space="preserve">Category</x:t>
        </x:is>
      </x:c>
      <x:c r="B4" s="9" t="inlineStr">
        <x:is>
          <x:t xml:space="preserve">Driver</x:t>
        </x:is>
      </x:c>
      <x:c r="C4" s="9" t="inlineStr">
        <x:is>
          <x:t xml:space="preserve">2021-22</x:t>
        </x:is>
      </x:c>
      <x:c r="D4" s="9" t="inlineStr">
        <x:is>
          <x:t xml:space="preserve">2022-23</x:t>
        </x:is>
      </x:c>
      <x:c r="E4" s="9" t="inlineStr">
        <x:is>
          <x:t xml:space="preserve">2023-24</x:t>
        </x:is>
      </x:c>
      <x:c r="F4" s="9" t="inlineStr">
        <x:is>
          <x:t xml:space="preserve">2024-25</x:t>
        </x:is>
      </x:c>
      <x:c r="G4" s="9" t="inlineStr">
        <x:is>
          <x:t xml:space="preserve">2025-26</x:t>
        </x:is>
      </x:c>
      <x:c r="H4" s="9" t="inlineStr">
        <x:is>
          <x:t xml:space="preserve">2026-27</x:t>
        </x:is>
      </x:c>
      <x:c r="I4" s="9" t="inlineStr">
        <x:is>
          <x:t xml:space="preserve">Unit</x:t>
        </x:is>
      </x:c>
      <x:c r="J4" s="9" t="inlineStr">
        <x:is>
          <x:t xml:space="preserve">Source / Method</x:t>
        </x:is>
      </x:c>
      <x:c r="K4" s="9" t="inlineStr">
        <x:is>
          <x:t xml:space="preserve">Status</x:t>
        </x:is>
      </x:c>
    </x:row>
    <x:row r="5">
      <x:c r="A5" s="10" t="inlineStr">
        <x:is>
          <x:t xml:space="preserve">CONTROL</x:t>
        </x:is>
      </x:c>
      <x:c r="B5" s="11" t="inlineStr">
        <x:is>
          <x:t xml:space="preserve">2026-27 attendance growth assumption</x:t>
        </x:is>
      </x:c>
      <x:c r="C5" s="61" t="n"/>
      <x:c r="D5" s="61" t="n"/>
      <x:c r="E5" s="61" t="n"/>
      <x:c r="F5" s="61" t="n"/>
      <x:c r="G5" s="61" t="n"/>
      <x:c r="H5" s="62" t="n">
        <x:v>0.03</x:v>
      </x:c>
      <x:c r="I5" s="14" t="inlineStr">
        <x:is>
          <x:t xml:space="preserve">pct</x:t>
        </x:is>
      </x:c>
      <x:c r="J5" s="14" t="inlineStr">
        <x:is>
          <x:t xml:space="preserve">Model control</x:t>
        </x:is>
      </x:c>
      <x:c r="K5" s="14" t="inlineStr">
        <x:is>
          <x:t xml:space="preserve">Control</x:t>
        </x:is>
      </x:c>
    </x:row>
    <x:row r="6">
      <x:c r="A6" s="15" t="inlineStr">
        <x:is>
          <x:t xml:space="preserve">CONTROL</x:t>
        </x:is>
      </x:c>
      <x:c r="B6" s="16" t="inlineStr">
        <x:is>
          <x:t xml:space="preserve">2026-27 WATP growth assumption</x:t>
        </x:is>
      </x:c>
      <x:c r="C6" s="63" t="n"/>
      <x:c r="D6" s="63" t="n"/>
      <x:c r="E6" s="63" t="n"/>
      <x:c r="F6" s="63" t="n"/>
      <x:c r="G6" s="63" t="n"/>
      <x:c r="H6" s="64" t="n">
        <x:v>0.032</x:v>
      </x:c>
      <x:c r="I6" s="2" t="inlineStr">
        <x:is>
          <x:t xml:space="preserve">pct</x:t>
        </x:is>
      </x:c>
      <x:c r="J6" s="2" t="inlineStr">
        <x:is>
          <x:t xml:space="preserve">Model control</x:t>
        </x:is>
      </x:c>
      <x:c r="K6" s="2" t="inlineStr">
        <x:is>
          <x:t xml:space="preserve">Control</x:t>
        </x:is>
      </x:c>
    </x:row>
    <x:row r="7">
      <x:c r="A7" s="15" t="inlineStr">
        <x:is>
          <x:t xml:space="preserve">CONTROL</x:t>
        </x:is>
      </x:c>
      <x:c r="B7" s="16" t="inlineStr">
        <x:is>
          <x:t xml:space="preserve">2026-27 sponsorship growth assumption</x:t>
        </x:is>
      </x:c>
      <x:c r="C7" s="63" t="n"/>
      <x:c r="D7" s="63" t="n"/>
      <x:c r="E7" s="63" t="n"/>
      <x:c r="F7" s="63" t="n"/>
      <x:c r="G7" s="63" t="n"/>
      <x:c r="H7" s="64" t="n">
        <x:v>0.093</x:v>
      </x:c>
      <x:c r="I7" s="2" t="inlineStr">
        <x:is>
          <x:t xml:space="preserve">pct</x:t>
        </x:is>
      </x:c>
      <x:c r="J7" s="2" t="inlineStr">
        <x:is>
          <x:t xml:space="preserve">Model control</x:t>
        </x:is>
      </x:c>
      <x:c r="K7" s="2" t="inlineStr">
        <x:is>
          <x:t xml:space="preserve">Control</x:t>
        </x:is>
      </x:c>
    </x:row>
    <x:row r="8">
      <x:c r="A8" s="15" t="inlineStr">
        <x:is>
          <x:t xml:space="preserve">CONTROL</x:t>
        </x:is>
      </x:c>
      <x:c r="B8" s="16" t="inlineStr">
        <x:is>
          <x:t xml:space="preserve">2026-27 per-cap F&amp;B growth assumption</x:t>
        </x:is>
      </x:c>
      <x:c r="C8" s="63" t="n"/>
      <x:c r="D8" s="63" t="n"/>
      <x:c r="E8" s="63" t="n"/>
      <x:c r="F8" s="63" t="n"/>
      <x:c r="G8" s="63" t="n"/>
      <x:c r="H8" s="64" t="n">
        <x:v>0.032</x:v>
      </x:c>
      <x:c r="I8" s="2" t="inlineStr">
        <x:is>
          <x:t xml:space="preserve">pct</x:t>
        </x:is>
      </x:c>
      <x:c r="J8" s="2" t="inlineStr">
        <x:is>
          <x:t xml:space="preserve">Model control</x:t>
        </x:is>
      </x:c>
      <x:c r="K8" s="2" t="inlineStr">
        <x:is>
          <x:t xml:space="preserve">Control</x:t>
        </x:is>
      </x:c>
    </x:row>
    <x:row r="9">
      <x:c r="A9" s="15" t="inlineStr">
        <x:is>
          <x:t xml:space="preserve">CONTROL</x:t>
        </x:is>
      </x:c>
      <x:c r="B9" s="16" t="inlineStr">
        <x:is>
          <x:t xml:space="preserve">2026-27 merch per-cap growth assumption</x:t>
        </x:is>
      </x:c>
      <x:c r="C9" s="63" t="n"/>
      <x:c r="D9" s="63" t="n"/>
      <x:c r="E9" s="63" t="n"/>
      <x:c r="F9" s="63" t="n"/>
      <x:c r="G9" s="63" t="n"/>
      <x:c r="H9" s="64" t="n">
        <x:v>0.044</x:v>
      </x:c>
      <x:c r="I9" s="2" t="inlineStr">
        <x:is>
          <x:t xml:space="preserve">pct</x:t>
        </x:is>
      </x:c>
      <x:c r="J9" s="2" t="inlineStr">
        <x:is>
          <x:t xml:space="preserve">Model control</x:t>
        </x:is>
      </x:c>
      <x:c r="K9" s="2" t="inlineStr">
        <x:is>
          <x:t xml:space="preserve">Control</x:t>
        </x:is>
      </x:c>
    </x:row>
    <x:row r="10">
      <x:c r="A10" s="15" t="inlineStr">
        <x:is>
          <x:t xml:space="preserve">CONTROL</x:t>
        </x:is>
      </x:c>
      <x:c r="B10" s="16" t="inlineStr">
        <x:is>
          <x:t xml:space="preserve">2026-27 STM price growth assumption</x:t>
        </x:is>
      </x:c>
      <x:c r="C10" s="63" t="n"/>
      <x:c r="D10" s="63" t="n"/>
      <x:c r="E10" s="63" t="n"/>
      <x:c r="F10" s="63" t="n"/>
      <x:c r="G10" s="63" t="n"/>
      <x:c r="H10" s="64" t="n">
        <x:v>0.03</x:v>
      </x:c>
      <x:c r="I10" s="2" t="inlineStr">
        <x:is>
          <x:t xml:space="preserve">pct</x:t>
        </x:is>
      </x:c>
      <x:c r="J10" s="2" t="inlineStr">
        <x:is>
          <x:t xml:space="preserve">Model control</x:t>
        </x:is>
      </x:c>
      <x:c r="K10" s="2" t="inlineStr">
        <x:is>
          <x:t xml:space="preserve">Control</x:t>
        </x:is>
      </x:c>
    </x:row>
    <x:row r="11">
      <x:c r="A11" s="15" t="inlineStr">
        <x:is>
          <x:t xml:space="preserve">CONTROL</x:t>
        </x:is>
      </x:c>
      <x:c r="B11" s="16" t="inlineStr">
        <x:is>
          <x:t xml:space="preserve">2026-27 single-game price growth assumption</x:t>
        </x:is>
      </x:c>
      <x:c r="C11" s="63" t="n"/>
      <x:c r="D11" s="63" t="n"/>
      <x:c r="E11" s="63" t="n"/>
      <x:c r="F11" s="63" t="n"/>
      <x:c r="G11" s="63" t="n"/>
      <x:c r="H11" s="64" t="n">
        <x:v>0.043</x:v>
      </x:c>
      <x:c r="I11" s="2" t="inlineStr">
        <x:is>
          <x:t xml:space="preserve">pct</x:t>
        </x:is>
      </x:c>
      <x:c r="J11" s="2" t="inlineStr">
        <x:is>
          <x:t xml:space="preserve">Model control</x:t>
        </x:is>
      </x:c>
      <x:c r="K11" s="2" t="inlineStr">
        <x:is>
          <x:t xml:space="preserve">Control</x:t>
        </x:is>
      </x:c>
    </x:row>
    <x:row r="12">
      <x:c r="A12" s="15" t="inlineStr">
        <x:is>
          <x:t xml:space="preserve">CONTROL</x:t>
        </x:is>
      </x:c>
      <x:c r="B12" s="16" t="inlineStr">
        <x:is>
          <x:t xml:space="preserve">2026-27 website traffic growth assumption</x:t>
        </x:is>
      </x:c>
      <x:c r="C12" s="63" t="n"/>
      <x:c r="D12" s="63" t="n"/>
      <x:c r="E12" s="63" t="n"/>
      <x:c r="F12" s="63" t="n"/>
      <x:c r="G12" s="63" t="n"/>
      <x:c r="H12" s="64" t="n">
        <x:v>0.08</x:v>
      </x:c>
      <x:c r="I12" s="2" t="inlineStr">
        <x:is>
          <x:t xml:space="preserve">pct</x:t>
        </x:is>
      </x:c>
      <x:c r="J12" s="2" t="inlineStr">
        <x:is>
          <x:t xml:space="preserve">Model control</x:t>
        </x:is>
      </x:c>
      <x:c r="K12" s="2" t="inlineStr">
        <x:is>
          <x:t xml:space="preserve">Control</x:t>
        </x:is>
      </x:c>
    </x:row>
    <x:row r="13">
      <x:c r="A13" s="10" t="inlineStr">
        <x:is>
          <x:t xml:space="preserve">ATTENDANCE</x:t>
        </x:is>
      </x:c>
      <x:c r="B13" s="11" t="inlineStr">
        <x:is>
          <x:t xml:space="preserve">Average attendance</x:t>
        </x:is>
      </x:c>
      <x:c r="C13" s="65" t="n">
        <x:v>6992</x:v>
      </x:c>
      <x:c r="D13" s="65" t="n">
        <x:v>6953</x:v>
      </x:c>
      <x:c r="E13" s="65" t="n">
        <x:v>7249</x:v>
      </x:c>
      <x:c r="F13" s="65" t="n">
        <x:v>7262</x:v>
      </x:c>
      <x:c r="G13" s="65" t="n">
        <x:v>7403</x:v>
      </x:c>
      <x:c r="H13" s="66">
        <x:f>ROUND(G13*(1+$H$5),0)</x:f>
        <x:v>7625</x:v>
      </x:c>
      <x:c r="I13" s="14" t="inlineStr">
        <x:is>
          <x:t xml:space="preserve">fans/game</x:t>
        </x:is>
      </x:c>
      <x:c r="J13" s="14" t="inlineStr">
        <x:is>
          <x:t xml:space="preserve">https://www.hockeydb.com/stte/san-diego-gulls-11619.html</x:t>
        </x:is>
      </x:c>
      <x:c r="K13" s="14" t="inlineStr">
        <x:is>
          <x:t xml:space="preserve">Public/Projection</x:t>
        </x:is>
      </x:c>
    </x:row>
    <x:row r="14">
      <x:c r="A14" s="15" t="inlineStr">
        <x:is>
          <x:t xml:space="preserve">ATTENDANCE</x:t>
        </x:is>
      </x:c>
      <x:c r="B14" s="16" t="inlineStr">
        <x:is>
          <x:t xml:space="preserve">Home games</x:t>
        </x:is>
      </x:c>
      <x:c r="C14" s="67" t="n">
        <x:v>34</x:v>
      </x:c>
      <x:c r="D14" s="67" t="n">
        <x:v>36</x:v>
      </x:c>
      <x:c r="E14" s="67" t="n">
        <x:v>36</x:v>
      </x:c>
      <x:c r="F14" s="67" t="n">
        <x:v>36</x:v>
      </x:c>
      <x:c r="G14" s="67" t="n">
        <x:v>36</x:v>
      </x:c>
      <x:c r="H14" s="67" t="n">
        <x:v>36</x:v>
      </x:c>
      <x:c r="I14" s="2" t="inlineStr">
        <x:is>
          <x:t xml:space="preserve">games</x:t>
        </x:is>
      </x:c>
      <x:c r="J14" s="2" t="inlineStr">
        <x:is>
          <x:t xml:space="preserve">https://www.sandiegogulls.com/news/detail/san-diego-gulls-2021-22-schedule-announced</x:t>
        </x:is>
      </x:c>
      <x:c r="K14" s="2" t="inlineStr">
        <x:is>
          <x:t xml:space="preserve">Public</x:t>
        </x:is>
      </x:c>
    </x:row>
    <x:row r="15">
      <x:c r="A15" s="10" t="inlineStr">
        <x:is>
          <x:t xml:space="preserve">VENUE</x:t>
        </x:is>
      </x:c>
      <x:c r="B15" s="11" t="inlineStr">
        <x:is>
          <x:t xml:space="preserve">Hockey seating capacity</x:t>
        </x:is>
      </x:c>
      <x:c r="C15" s="65" t="n">
        <x:v>12920</x:v>
      </x:c>
      <x:c r="D15" s="65" t="n">
        <x:v>12920</x:v>
      </x:c>
      <x:c r="E15" s="65" t="n">
        <x:v>12920</x:v>
      </x:c>
      <x:c r="F15" s="65" t="n">
        <x:v>12920</x:v>
      </x:c>
      <x:c r="G15" s="65" t="n">
        <x:v>12920</x:v>
      </x:c>
      <x:c r="H15" s="65" t="n">
        <x:v>12920</x:v>
      </x:c>
      <x:c r="I15" s="14" t="inlineStr">
        <x:is>
          <x:t xml:space="preserve">seats</x:t>
        </x:is>
      </x:c>
      <x:c r="J15" s="14" t="inlineStr">
        <x:is>
          <x:t xml:space="preserve">https://www.sandiegogulls.com/assets/doc/2021-22-San-Diego-Gulls-Media-Guide-compressed-92470e4558.pdf</x:t>
        </x:is>
      </x:c>
      <x:c r="K15" s="14" t="inlineStr">
        <x:is>
          <x:t xml:space="preserve">Context</x:t>
        </x:is>
      </x:c>
    </x:row>
    <x:row r="16">
      <x:c r="A16" s="15" t="inlineStr">
        <x:is>
          <x:t xml:space="preserve">VENUE</x:t>
        </x:is>
      </x:c>
      <x:c r="B16" s="16" t="inlineStr">
        <x:is>
          <x:t xml:space="preserve">General venue capacity</x:t>
        </x:is>
      </x:c>
      <x:c r="C16" s="67" t="n">
        <x:v>14000</x:v>
      </x:c>
      <x:c r="D16" s="67" t="n">
        <x:v>14000</x:v>
      </x:c>
      <x:c r="E16" s="67" t="n">
        <x:v>14000</x:v>
      </x:c>
      <x:c r="F16" s="67" t="n">
        <x:v>14000</x:v>
      </x:c>
      <x:c r="G16" s="67" t="n">
        <x:v>14000</x:v>
      </x:c>
      <x:c r="H16" s="67" t="n">
        <x:v>14000</x:v>
      </x:c>
      <x:c r="I16" s="2" t="inlineStr">
        <x:is>
          <x:t xml:space="preserve">seats</x:t>
        </x:is>
      </x:c>
      <x:c r="J16" s="2" t="inlineStr">
        <x:is>
          <x:t xml:space="preserve">https://pechangaarenasd.com/about/</x:t>
        </x:is>
      </x:c>
      <x:c r="K16" s="2" t="inlineStr">
        <x:is>
          <x:t xml:space="preserve">Public</x:t>
        </x:is>
      </x:c>
    </x:row>
    <x:row r="17">
      <x:c r="A17" s="10" t="inlineStr">
        <x:is>
          <x:t xml:space="preserve">SCHEDULE</x:t>
        </x:is>
      </x:c>
      <x:c r="B17" s="11" t="inlineStr">
        <x:is>
          <x:t xml:space="preserve">Home weekend dates</x:t>
        </x:is>
      </x:c>
      <x:c r="C17" s="65" t="n">
        <x:v>23</x:v>
      </x:c>
      <x:c r="D17" s="65" t="n">
        <x:v>23</x:v>
      </x:c>
      <x:c r="E17" s="65" t="n">
        <x:v>26</x:v>
      </x:c>
      <x:c r="F17" s="65" t="n">
        <x:v>25</x:v>
      </x:c>
      <x:c r="G17" s="65" t="n">
        <x:v>25</x:v>
      </x:c>
      <x:c r="H17" s="65" t="n">
        <x:v>25</x:v>
      </x:c>
      <x:c r="I17" s="14" t="inlineStr">
        <x:is>
          <x:t xml:space="preserve">dates</x:t>
        </x:is>
      </x:c>
      <x:c r="J17" s="14" t="inlineStr">
        <x:is>
          <x:t xml:space="preserve">Multiple official schedule releases on sandiegogulls.com</x:t>
        </x:is>
      </x:c>
      <x:c r="K17" s="14" t="inlineStr">
        <x:is>
          <x:t xml:space="preserve">Public</x:t>
        </x:is>
      </x:c>
    </x:row>
    <x:row r="18">
      <x:c r="A18" s="15" t="inlineStr">
        <x:is>
          <x:t xml:space="preserve">SCHEDULE</x:t>
        </x:is>
      </x:c>
      <x:c r="B18" s="16" t="inlineStr">
        <x:is>
          <x:t xml:space="preserve">Friday home games</x:t>
        </x:is>
      </x:c>
      <x:c r="C18" s="67" t="n">
        <x:v>11</x:v>
      </x:c>
      <x:c r="D18" s="67" t="n">
        <x:v>12</x:v>
      </x:c>
      <x:c r="E18" s="67" t="n">
        <x:v>12</x:v>
      </x:c>
      <x:c r="F18" s="67" t="n">
        <x:v>9</x:v>
      </x:c>
      <x:c r="G18" s="67" t="n">
        <x:v>10</x:v>
      </x:c>
      <x:c r="H18" s="67" t="n">
        <x:v>10</x:v>
      </x:c>
      <x:c r="I18" s="2" t="inlineStr">
        <x:is>
          <x:t xml:space="preserve">games</x:t>
        </x:is>
      </x:c>
      <x:c r="J18" s="2" t="inlineStr">
        <x:is>
          <x:t xml:space="preserve">Multiple official schedule releases on sandiegogulls.com</x:t>
        </x:is>
      </x:c>
      <x:c r="K18" s="2" t="inlineStr">
        <x:is>
          <x:t xml:space="preserve">Public</x:t>
        </x:is>
      </x:c>
    </x:row>
    <x:row r="19">
      <x:c r="A19" s="15" t="inlineStr">
        <x:is>
          <x:t xml:space="preserve">SCHEDULE</x:t>
        </x:is>
      </x:c>
      <x:c r="B19" s="16" t="inlineStr">
        <x:is>
          <x:t xml:space="preserve">Saturday home games</x:t>
        </x:is>
      </x:c>
      <x:c r="C19" s="67" t="n">
        <x:v>11</x:v>
      </x:c>
      <x:c r="D19" s="67" t="n">
        <x:v>11</x:v>
      </x:c>
      <x:c r="E19" s="67" t="n">
        <x:v>12</x:v>
      </x:c>
      <x:c r="F19" s="67" t="n">
        <x:v>14</x:v>
      </x:c>
      <x:c r="G19" s="67" t="n">
        <x:v>10</x:v>
      </x:c>
      <x:c r="H19" s="67" t="n">
        <x:v>11</x:v>
      </x:c>
      <x:c r="I19" s="2" t="inlineStr">
        <x:is>
          <x:t xml:space="preserve">games</x:t>
        </x:is>
      </x:c>
      <x:c r="J19" s="2" t="inlineStr">
        <x:is>
          <x:t xml:space="preserve">Multiple official schedule releases on sandiegogulls.com</x:t>
        </x:is>
      </x:c>
      <x:c r="K19" s="2" t="inlineStr">
        <x:is>
          <x:t xml:space="preserve">Public/Projection</x:t>
        </x:is>
      </x:c>
    </x:row>
    <x:row r="20">
      <x:c r="A20" s="15" t="inlineStr">
        <x:is>
          <x:t xml:space="preserve">SCHEDULE</x:t>
        </x:is>
      </x:c>
      <x:c r="B20" s="16" t="inlineStr">
        <x:is>
          <x:t xml:space="preserve">Sunday home games</x:t>
        </x:is>
      </x:c>
      <x:c r="C20" s="67" t="n">
        <x:v>1</x:v>
      </x:c>
      <x:c r="D20" s="67" t="n">
        <x:v>1</x:v>
      </x:c>
      <x:c r="E20" s="67" t="n">
        <x:v>2</x:v>
      </x:c>
      <x:c r="F20" s="67" t="n">
        <x:v>2</x:v>
      </x:c>
      <x:c r="G20" s="67" t="n">
        <x:v>5</x:v>
      </x:c>
      <x:c r="H20" s="67" t="n">
        <x:v>4</x:v>
      </x:c>
      <x:c r="I20" s="2" t="inlineStr">
        <x:is>
          <x:t xml:space="preserve">games</x:t>
        </x:is>
      </x:c>
      <x:c r="J20" s="2" t="inlineStr">
        <x:is>
          <x:t xml:space="preserve">Multiple official schedule releases on sandiegogulls.com</x:t>
        </x:is>
      </x:c>
      <x:c r="K20" s="2" t="inlineStr">
        <x:is>
          <x:t xml:space="preserve">Public/Projection</x:t>
        </x:is>
      </x:c>
    </x:row>
    <x:row r="21">
      <x:c r="A21" s="15" t="inlineStr">
        <x:is>
          <x:t xml:space="preserve">SCHEDULE</x:t>
        </x:is>
      </x:c>
      <x:c r="B21" s="16" t="inlineStr">
        <x:is>
          <x:t xml:space="preserve">Back-to-back sets</x:t>
        </x:is>
      </x:c>
      <x:c r="C21" s="67" t="n">
        <x:v>24</x:v>
      </x:c>
      <x:c r="D21" s="67" t="n">
        <x:v>21</x:v>
      </x:c>
      <x:c r="E21" s="67" t="n">
        <x:v>18</x:v>
      </x:c>
      <x:c r="F21" s="67" t="n">
        <x:v>20</x:v>
      </x:c>
      <x:c r="G21" s="67" t="n">
        <x:v>22</x:v>
      </x:c>
      <x:c r="H21" s="67" t="n">
        <x:v>22</x:v>
      </x:c>
      <x:c r="I21" s="2" t="inlineStr">
        <x:is>
          <x:t xml:space="preserve">sets</x:t>
        </x:is>
      </x:c>
      <x:c r="J21" s="2" t="inlineStr">
        <x:is>
          <x:t xml:space="preserve">Multiple official schedule releases on sandiegogulls.com</x:t>
        </x:is>
      </x:c>
      <x:c r="K21" s="2" t="inlineStr">
        <x:is>
          <x:t xml:space="preserve">Public</x:t>
        </x:is>
      </x:c>
    </x:row>
    <x:row r="22">
      <x:c r="A22" s="10" t="inlineStr">
        <x:is>
          <x:t xml:space="preserve">MARKETING</x:t>
        </x:is>
      </x:c>
      <x:c r="B22" s="11" t="inlineStr">
        <x:is>
          <x:t xml:space="preserve">Promotional/theme nights announced</x:t>
        </x:is>
      </x:c>
      <x:c r="C22" s="65" t="n">
        <x:v>13</x:v>
      </x:c>
      <x:c r="D22" s="65" t="n">
        <x:v>15</x:v>
      </x:c>
      <x:c r="E22" s="65" t="n">
        <x:v>16</x:v>
      </x:c>
      <x:c r="F22" s="65" t="n">
        <x:v>23</x:v>
      </x:c>
      <x:c r="G22" s="65" t="n">
        <x:v>28</x:v>
      </x:c>
      <x:c r="H22" s="65" t="n">
        <x:v>30</x:v>
      </x:c>
      <x:c r="I22" s="14" t="inlineStr">
        <x:is>
          <x:t xml:space="preserve">nights</x:t>
        </x:is>
      </x:c>
      <x:c r="J22" s="14" t="inlineStr">
        <x:is>
          <x:t xml:space="preserve">Multiple official promo releases on sandiegogulls.com</x:t>
        </x:is>
      </x:c>
      <x:c r="K22" s="14" t="inlineStr">
        <x:is>
          <x:t xml:space="preserve">Public/Projection</x:t>
        </x:is>
      </x:c>
    </x:row>
    <x:row r="23">
      <x:c r="A23" s="15" t="inlineStr">
        <x:is>
          <x:t xml:space="preserve">MARKETING</x:t>
        </x:is>
      </x:c>
      <x:c r="B23" s="16" t="inlineStr">
        <x:is>
          <x:t xml:space="preserve">Giveaway items announced</x:t>
        </x:is>
      </x:c>
      <x:c r="C23" s="67" t="n">
        <x:v>7</x:v>
      </x:c>
      <x:c r="D23" s="67" t="n">
        <x:v>6</x:v>
      </x:c>
      <x:c r="E23" s="67" t="n">
        <x:v>10</x:v>
      </x:c>
      <x:c r="F23" s="67" t="n">
        <x:v>11</x:v>
      </x:c>
      <x:c r="G23" s="67" t="n">
        <x:v>5</x:v>
      </x:c>
      <x:c r="H23" s="67" t="n">
        <x:v>6</x:v>
      </x:c>
      <x:c r="I23" s="2" t="inlineStr">
        <x:is>
          <x:t xml:space="preserve">items</x:t>
        </x:is>
      </x:c>
      <x:c r="J23" s="2" t="inlineStr">
        <x:is>
          <x:t xml:space="preserve">Multiple official promo releases on sandiegogulls.com</x:t>
        </x:is>
      </x:c>
      <x:c r="K23" s="2" t="inlineStr">
        <x:is>
          <x:t xml:space="preserve">Public/Projection</x:t>
        </x:is>
      </x:c>
    </x:row>
    <x:row r="24">
      <x:c r="A24" s="15" t="inlineStr">
        <x:is>
          <x:t xml:space="preserve">MARKETING</x:t>
        </x:is>
      </x:c>
      <x:c r="B24" s="16" t="inlineStr">
        <x:is>
          <x:t xml:space="preserve">Pregame tailgates</x:t>
        </x:is>
      </x:c>
      <x:c r="C24" s="67" t="n">
        <x:v>6</x:v>
      </x:c>
      <x:c r="D24" s="67" t="n">
        <x:v>6</x:v>
      </x:c>
      <x:c r="E24" s="67" t="n">
        <x:v>7</x:v>
      </x:c>
      <x:c r="F24" s="67" t="n">
        <x:v>7</x:v>
      </x:c>
      <x:c r="G24" s="67" t="n">
        <x:v>7</x:v>
      </x:c>
      <x:c r="H24" s="67" t="n">
        <x:v>8</x:v>
      </x:c>
      <x:c r="I24" s="2" t="inlineStr">
        <x:is>
          <x:t xml:space="preserve">events</x:t>
        </x:is>
      </x:c>
      <x:c r="J24" s="2" t="inlineStr">
        <x:is>
          <x:t xml:space="preserve">Multiple official promo releases on sandiegogulls.com</x:t>
        </x:is>
      </x:c>
      <x:c r="K24" s="2" t="inlineStr">
        <x:is>
          <x:t xml:space="preserve">Public/Projection</x:t>
        </x:is>
      </x:c>
    </x:row>
    <x:row r="25">
      <x:c r="A25" s="10" t="inlineStr">
        <x:is>
          <x:t xml:space="preserve">TICKETING</x:t>
        </x:is>
      </x:c>
      <x:c r="B25" s="11" t="inlineStr">
        <x:is>
          <x:t xml:space="preserve">STM entry price</x:t>
        </x:is>
      </x:c>
      <x:c r="C25" s="68" t="n">
        <x:v>476</x:v>
      </x:c>
      <x:c r="D25" s="68" t="n">
        <x:v>540</x:v>
      </x:c>
      <x:c r="E25" s="68" t="n">
        <x:v>540</x:v>
      </x:c>
      <x:c r="F25" s="68" t="n">
        <x:v>560</x:v>
      </x:c>
      <x:c r="G25" s="68" t="n">
        <x:v>614</x:v>
      </x:c>
      <x:c r="H25" s="69">
        <x:f>ROUND(G25*(1+$H$10),0)</x:f>
        <x:v>632</x:v>
      </x:c>
      <x:c r="I25" s="14" t="inlineStr">
        <x:is>
          <x:t xml:space="preserve">$/seat</x:t>
        </x:is>
      </x:c>
      <x:c r="J25" s="14" t="inlineStr">
        <x:is>
          <x:t xml:space="preserve">Multiple official ticketing releases on sandiegogulls.com</x:t>
        </x:is>
      </x:c>
      <x:c r="K25" s="14" t="inlineStr">
        <x:is>
          <x:t xml:space="preserve">Public/Projection</x:t>
        </x:is>
      </x:c>
    </x:row>
    <x:row r="26">
      <x:c r="A26" s="15" t="inlineStr">
        <x:is>
          <x:t xml:space="preserve">TICKETING</x:t>
        </x:is>
      </x:c>
      <x:c r="B26" s="16" t="inlineStr">
        <x:is>
          <x:t xml:space="preserve">Single-game floor (box office / public)</x:t>
        </x:is>
      </x:c>
      <x:c r="C26" s="70" t="n">
        <x:v>19</x:v>
      </x:c>
      <x:c r="D26" s="70" t="n">
        <x:v>21</x:v>
      </x:c>
      <x:c r="E26" s="70" t="n">
        <x:v>20</x:v>
      </x:c>
      <x:c r="F26" s="70" t="n">
        <x:v>22</x:v>
      </x:c>
      <x:c r="G26" s="70" t="n">
        <x:v>23</x:v>
      </x:c>
      <x:c r="H26" s="71">
        <x:f>ROUND(G26*(1+$H$11),0)</x:f>
        <x:v>24</x:v>
      </x:c>
      <x:c r="I26" s="2" t="inlineStr">
        <x:is>
          <x:t xml:space="preserve">$/ticket</x:t>
        </x:is>
      </x:c>
      <x:c r="J26" s="2" t="inlineStr">
        <x:is>
          <x:t xml:space="preserve">Multiple official ticketing releases on sandiegogulls.com</x:t>
        </x:is>
      </x:c>
      <x:c r="K26" s="2" t="inlineStr">
        <x:is>
          <x:t xml:space="preserve">Public/Estimate/Projection</x:t>
        </x:is>
      </x:c>
    </x:row>
    <x:row r="27">
      <x:c r="A27" s="15" t="inlineStr">
        <x:is>
          <x:t xml:space="preserve">TICKETING</x:t>
        </x:is>
      </x:c>
      <x:c r="B27" s="16" t="inlineStr">
        <x:is>
          <x:t xml:space="preserve">Single-game floor (online incl. fees)</x:t>
        </x:is>
      </x:c>
      <x:c r="C27" s="72" t="n"/>
      <x:c r="D27" s="72" t="n"/>
      <x:c r="E27" s="72" t="n"/>
      <x:c r="F27" s="70" t="n">
        <x:v>27.5</x:v>
      </x:c>
      <x:c r="G27" s="70" t="n">
        <x:v>28.75</x:v>
      </x:c>
      <x:c r="H27" s="70" t="n">
        <x:v>29.75</x:v>
      </x:c>
      <x:c r="I27" s="2" t="inlineStr">
        <x:is>
          <x:t xml:space="preserve">$/ticket</x:t>
        </x:is>
      </x:c>
      <x:c r="J27" s="2" t="inlineStr">
        <x:is>
          <x:t xml:space="preserve">https://www.sandiegogulls.com/news/detail/single-game-tickets-available-now</x:t>
        </x:is>
      </x:c>
      <x:c r="K27" s="2" t="inlineStr">
        <x:is>
          <x:t xml:space="preserve">Estimate/Projection</x:t>
        </x:is>
      </x:c>
    </x:row>
    <x:row r="28">
      <x:c r="A28" s="15" t="inlineStr">
        <x:is>
          <x:t xml:space="preserve">TICKETING</x:t>
        </x:is>
      </x:c>
      <x:c r="B28" s="16" t="inlineStr">
        <x:is>
          <x:t xml:space="preserve">College ticket price</x:t>
        </x:is>
      </x:c>
      <x:c r="C28" s="72" t="n"/>
      <x:c r="D28" s="72" t="n"/>
      <x:c r="E28" s="72" t="n"/>
      <x:c r="F28" s="72" t="n"/>
      <x:c r="G28" s="70" t="n">
        <x:v>17</x:v>
      </x:c>
      <x:c r="H28" s="70" t="n">
        <x:v>17.5</x:v>
      </x:c>
      <x:c r="I28" s="2" t="inlineStr">
        <x:is>
          <x:t xml:space="preserve">$/ticket</x:t>
        </x:is>
      </x:c>
      <x:c r="J28" s="2" t="inlineStr">
        <x:is>
          <x:t xml:space="preserve">https://www.sandiegogulls.com/tickets/college</x:t>
        </x:is>
      </x:c>
      <x:c r="K28" s="2" t="inlineStr">
        <x:is>
          <x:t xml:space="preserve">Public/Projection</x:t>
        </x:is>
      </x:c>
    </x:row>
    <x:row r="29">
      <x:c r="A29" s="15" t="inlineStr">
        <x:is>
          <x:t xml:space="preserve">TICKETING</x:t>
        </x:is>
      </x:c>
      <x:c r="B29" s="16" t="inlineStr">
        <x:is>
          <x:t xml:space="preserve">Family pack price floor</x:t>
        </x:is>
      </x:c>
      <x:c r="C29" s="72" t="n"/>
      <x:c r="D29" s="72" t="n"/>
      <x:c r="E29" s="72" t="n"/>
      <x:c r="F29" s="72" t="n"/>
      <x:c r="G29" s="70" t="n">
        <x:v>130</x:v>
      </x:c>
      <x:c r="H29" s="70" t="n">
        <x:v>135</x:v>
      </x:c>
      <x:c r="I29" s="2" t="inlineStr">
        <x:is>
          <x:t xml:space="preserve">$/pack</x:t>
        </x:is>
      </x:c>
      <x:c r="J29" s="2" t="inlineStr">
        <x:is>
          <x:t xml:space="preserve">https://www.sandiegogulls.com/tickets/4-packs</x:t>
        </x:is>
      </x:c>
      <x:c r="K29" s="2" t="inlineStr">
        <x:is>
          <x:t xml:space="preserve">Public/Projection</x:t>
        </x:is>
      </x:c>
    </x:row>
    <x:row r="30">
      <x:c r="A30" s="15" t="inlineStr">
        <x:is>
          <x:t xml:space="preserve">TICKETING</x:t>
        </x:is>
      </x:c>
      <x:c r="B30" s="16" t="inlineStr">
        <x:is>
          <x:t xml:space="preserve">Group minimum size</x:t>
        </x:is>
      </x:c>
      <x:c r="C30" s="67" t="n">
        <x:v>10</x:v>
      </x:c>
      <x:c r="D30" s="67" t="n">
        <x:v>10</x:v>
      </x:c>
      <x:c r="E30" s="67" t="n">
        <x:v>10</x:v>
      </x:c>
      <x:c r="F30" s="67" t="n">
        <x:v>10</x:v>
      </x:c>
      <x:c r="G30" s="67" t="n">
        <x:v>10</x:v>
      </x:c>
      <x:c r="H30" s="67" t="n">
        <x:v>10</x:v>
      </x:c>
      <x:c r="I30" s="2" t="inlineStr">
        <x:is>
          <x:t xml:space="preserve">tickets</x:t>
        </x:is>
      </x:c>
      <x:c r="J30" s="2" t="inlineStr">
        <x:is>
          <x:t xml:space="preserve">https://www.sandiegogulls.com/tickets/group-tickets</x:t>
        </x:is>
      </x:c>
      <x:c r="K30" s="2" t="inlineStr">
        <x:is>
          <x:t xml:space="preserve">Public/Context</x:t>
        </x:is>
      </x:c>
    </x:row>
    <x:row r="31">
      <x:c r="A31" s="15" t="inlineStr">
        <x:is>
          <x:t xml:space="preserve">TICKETING</x:t>
        </x:is>
      </x:c>
      <x:c r="B31" s="16" t="inlineStr">
        <x:is>
          <x:t xml:space="preserve">Max mini-plan discount</x:t>
        </x:is>
      </x:c>
      <x:c r="C31" s="64" t="n">
        <x:v>0.15</x:v>
      </x:c>
      <x:c r="D31" s="64" t="n">
        <x:v>0.15</x:v>
      </x:c>
      <x:c r="E31" s="64" t="n">
        <x:v>0.2</x:v>
      </x:c>
      <x:c r="F31" s="64" t="n">
        <x:v>0.3</x:v>
      </x:c>
      <x:c r="G31" s="64" t="n">
        <x:v>0.3</x:v>
      </x:c>
      <x:c r="H31" s="64" t="n">
        <x:v>0.3</x:v>
      </x:c>
      <x:c r="I31" s="2" t="inlineStr">
        <x:is>
          <x:t xml:space="preserve">pct</x:t>
        </x:is>
      </x:c>
      <x:c r="J31" s="2" t="inlineStr">
        <x:is>
          <x:t xml:space="preserve">https://www.sandiegogulls.com/tickets/gulls-mini-plans</x:t>
        </x:is>
      </x:c>
      <x:c r="K31" s="2" t="inlineStr">
        <x:is>
          <x:t xml:space="preserve">Estimate/Projection</x:t>
        </x:is>
      </x:c>
    </x:row>
    <x:row r="32">
      <x:c r="A32" s="15" t="inlineStr">
        <x:is>
          <x:t xml:space="preserve">TICKETING</x:t>
        </x:is>
      </x:c>
      <x:c r="B32" s="16" t="inlineStr">
        <x:is>
          <x:t xml:space="preserve">Weighted average ticket price (modeled)</x:t>
        </x:is>
      </x:c>
      <x:c r="C32" s="70" t="n">
        <x:v>22</x:v>
      </x:c>
      <x:c r="D32" s="70" t="n">
        <x:v>22.4</x:v>
      </x:c>
      <x:c r="E32" s="70" t="n">
        <x:v>23.4</x:v>
      </x:c>
      <x:c r="F32" s="70" t="n">
        <x:v>24.4</x:v>
      </x:c>
      <x:c r="G32" s="70" t="n">
        <x:v>25.4</x:v>
      </x:c>
      <x:c r="H32" s="71">
        <x:f>ROUND(G32*(1+$H$6),2)</x:f>
        <x:v>26.21</x:v>
      </x:c>
      <x:c r="I32" s="2" t="inlineStr">
        <x:is>
          <x:t xml:space="preserve">$/ticket</x:t>
        </x:is>
      </x:c>
      <x:c r="J32" s="2" t="inlineStr">
        <x:is>
          <x:t xml:space="preserve">Model methodology</x:t>
        </x:is>
      </x:c>
      <x:c r="K32" s="2" t="inlineStr">
        <x:is>
          <x:t xml:space="preserve">Estimate/Projection</x:t>
        </x:is>
      </x:c>
    </x:row>
    <x:row r="33">
      <x:c r="A33" s="15" t="inlineStr">
        <x:is>
          <x:t xml:space="preserve">TICKETING</x:t>
        </x:is>
      </x:c>
      <x:c r="B33" s="16" t="inlineStr">
        <x:is>
          <x:t xml:space="preserve">Group sales share of gate</x:t>
        </x:is>
      </x:c>
      <x:c r="C33" s="64" t="n">
        <x:v>0.16</x:v>
      </x:c>
      <x:c r="D33" s="64" t="n">
        <x:v>0.17</x:v>
      </x:c>
      <x:c r="E33" s="64" t="n">
        <x:v>0.18</x:v>
      </x:c>
      <x:c r="F33" s="64" t="n">
        <x:v>0.19</x:v>
      </x:c>
      <x:c r="G33" s="64" t="n">
        <x:v>0.2</x:v>
      </x:c>
      <x:c r="H33" s="64" t="n">
        <x:v>0.21</x:v>
      </x:c>
      <x:c r="I33" s="2" t="inlineStr">
        <x:is>
          <x:t xml:space="preserve">pct</x:t>
        </x:is>
      </x:c>
      <x:c r="J33" s="2" t="inlineStr">
        <x:is>
          <x:t xml:space="preserve">Model methodology</x:t>
        </x:is>
      </x:c>
      <x:c r="K33" s="2" t="inlineStr">
        <x:is>
          <x:t xml:space="preserve">Estimate/Projection</x:t>
        </x:is>
      </x:c>
    </x:row>
    <x:row r="34">
      <x:c r="A34" s="15" t="inlineStr">
        <x:is>
          <x:t xml:space="preserve">TICKETING</x:t>
        </x:is>
      </x:c>
      <x:c r="B34" s="16" t="inlineStr">
        <x:is>
          <x:t xml:space="preserve">Premium seating yield (included in gate)</x:t>
        </x:is>
      </x:c>
      <x:c r="C34" s="73" t="n">
        <x:v>380000</x:v>
      </x:c>
      <x:c r="D34" s="73" t="n">
        <x:v>400000</x:v>
      </x:c>
      <x:c r="E34" s="73" t="n">
        <x:v>460000</x:v>
      </x:c>
      <x:c r="F34" s="73" t="n">
        <x:v>520000</x:v>
      </x:c>
      <x:c r="G34" s="73" t="n">
        <x:v>600000</x:v>
      </x:c>
      <x:c r="H34" s="73" t="n">
        <x:v>660000</x:v>
      </x:c>
      <x:c r="I34" s="2" t="inlineStr">
        <x:is>
          <x:t xml:space="preserve">$</x:t>
        </x:is>
      </x:c>
      <x:c r="J34" s="2" t="inlineStr">
        <x:is>
          <x:t xml:space="preserve">Model methodology</x:t>
        </x:is>
      </x:c>
      <x:c r="K34" s="2" t="inlineStr">
        <x:is>
          <x:t xml:space="preserve">Estimate/Projection</x:t>
        </x:is>
      </x:c>
    </x:row>
    <x:row r="35">
      <x:c r="A35" s="15" t="inlineStr">
        <x:is>
          <x:t xml:space="preserve">TICKETING</x:t>
        </x:is>
      </x:c>
      <x:c r="B35" s="16" t="inlineStr">
        <x:is>
          <x:t xml:space="preserve">STM base (full-season equivalents)</x:t>
        </x:is>
      </x:c>
      <x:c r="C35" s="67" t="n">
        <x:v>2300</x:v>
      </x:c>
      <x:c r="D35" s="67" t="n">
        <x:v>2350</x:v>
      </x:c>
      <x:c r="E35" s="67" t="n">
        <x:v>2450</x:v>
      </x:c>
      <x:c r="F35" s="67" t="n">
        <x:v>2550</x:v>
      </x:c>
      <x:c r="G35" s="67" t="n">
        <x:v>2700</x:v>
      </x:c>
      <x:c r="H35" s="67" t="n">
        <x:v>2780</x:v>
      </x:c>
      <x:c r="I35" s="2" t="inlineStr">
        <x:is>
          <x:t xml:space="preserve">FSE</x:t>
        </x:is>
      </x:c>
      <x:c r="J35" s="2" t="inlineStr">
        <x:is>
          <x:t xml:space="preserve">Model methodology</x:t>
        </x:is>
      </x:c>
      <x:c r="K35" s="2" t="inlineStr">
        <x:is>
          <x:t xml:space="preserve">Estimate/Projection</x:t>
        </x:is>
      </x:c>
    </x:row>
    <x:row r="36">
      <x:c r="A36" s="15" t="inlineStr">
        <x:is>
          <x:t xml:space="preserve">TICKETING</x:t>
        </x:is>
      </x:c>
      <x:c r="B36" s="16" t="inlineStr">
        <x:is>
          <x:t xml:space="preserve">STM retention rate</x:t>
        </x:is>
      </x:c>
      <x:c r="C36" s="64" t="n">
        <x:v>0.77</x:v>
      </x:c>
      <x:c r="D36" s="64" t="n">
        <x:v>0.76</x:v>
      </x:c>
      <x:c r="E36" s="64" t="n">
        <x:v>0.78</x:v>
      </x:c>
      <x:c r="F36" s="64" t="n">
        <x:v>0.8</x:v>
      </x:c>
      <x:c r="G36" s="64" t="n">
        <x:v>0.82</x:v>
      </x:c>
      <x:c r="H36" s="64" t="n">
        <x:v>0.83</x:v>
      </x:c>
      <x:c r="I36" s="2" t="inlineStr">
        <x:is>
          <x:t xml:space="preserve">pct</x:t>
        </x:is>
      </x:c>
      <x:c r="J36" s="2" t="inlineStr">
        <x:is>
          <x:t xml:space="preserve">Model methodology</x:t>
        </x:is>
      </x:c>
      <x:c r="K36" s="2" t="inlineStr">
        <x:is>
          <x:t xml:space="preserve">Estimate/Projection</x:t>
        </x:is>
      </x:c>
    </x:row>
    <x:row r="37">
      <x:c r="A37" s="10" t="inlineStr">
        <x:is>
          <x:t xml:space="preserve">ANCILLARY</x:t>
        </x:is>
      </x:c>
      <x:c r="B37" s="11" t="inlineStr">
        <x:is>
          <x:t xml:space="preserve">F&amp;B per-cap gross</x:t>
        </x:is>
      </x:c>
      <x:c r="C37" s="68" t="n">
        <x:v>13</x:v>
      </x:c>
      <x:c r="D37" s="68" t="n">
        <x:v>13.4</x:v>
      </x:c>
      <x:c r="E37" s="68" t="n">
        <x:v>14</x:v>
      </x:c>
      <x:c r="F37" s="68" t="n">
        <x:v>14.8</x:v>
      </x:c>
      <x:c r="G37" s="68" t="n">
        <x:v>15.5</x:v>
      </x:c>
      <x:c r="H37" s="69">
        <x:f>ROUND(G37*(1+$H$8),2)</x:f>
        <x:v>16</x:v>
      </x:c>
      <x:c r="I37" s="14" t="inlineStr">
        <x:is>
          <x:t xml:space="preserve">$/attendee</x:t>
        </x:is>
      </x:c>
      <x:c r="J37" s="14" t="inlineStr">
        <x:is>
          <x:t xml:space="preserve">Model methodology</x:t>
        </x:is>
      </x:c>
      <x:c r="K37" s="14" t="inlineStr">
        <x:is>
          <x:t xml:space="preserve">Estimate/Projection</x:t>
        </x:is>
      </x:c>
    </x:row>
    <x:row r="38">
      <x:c r="A38" s="15" t="inlineStr">
        <x:is>
          <x:t xml:space="preserve">ANCILLARY</x:t>
        </x:is>
      </x:c>
      <x:c r="B38" s="16" t="inlineStr">
        <x:is>
          <x:t xml:space="preserve">Team concession commission rate</x:t>
        </x:is>
      </x:c>
      <x:c r="C38" s="64" t="n">
        <x:v>0.04</x:v>
      </x:c>
      <x:c r="D38" s="64" t="n">
        <x:v>0.04</x:v>
      </x:c>
      <x:c r="E38" s="64" t="n">
        <x:v>0.04</x:v>
      </x:c>
      <x:c r="F38" s="64" t="n">
        <x:v>0.04</x:v>
      </x:c>
      <x:c r="G38" s="64" t="n">
        <x:v>0.04</x:v>
      </x:c>
      <x:c r="H38" s="64" t="n">
        <x:v>0.04</x:v>
      </x:c>
      <x:c r="I38" s="2" t="inlineStr">
        <x:is>
          <x:t xml:space="preserve">pct</x:t>
        </x:is>
      </x:c>
      <x:c r="J38" s="2" t="inlineStr">
        <x:is>
          <x:t xml:space="preserve">Model methodology</x:t>
        </x:is>
      </x:c>
      <x:c r="K38" s="2" t="inlineStr">
        <x:is>
          <x:t xml:space="preserve">Estimate</x:t>
        </x:is>
      </x:c>
    </x:row>
    <x:row r="39">
      <x:c r="A39" s="15" t="inlineStr">
        <x:is>
          <x:t xml:space="preserve">ANCILLARY</x:t>
        </x:is>
      </x:c>
      <x:c r="B39" s="16" t="inlineStr">
        <x:is>
          <x:t xml:space="preserve">Merchandise per-cap</x:t>
        </x:is>
      </x:c>
      <x:c r="C39" s="70" t="n">
        <x:v>3.6</x:v>
      </x:c>
      <x:c r="D39" s="70" t="n">
        <x:v>3.8</x:v>
      </x:c>
      <x:c r="E39" s="70" t="n">
        <x:v>4</x:v>
      </x:c>
      <x:c r="F39" s="70" t="n">
        <x:v>4.2</x:v>
      </x:c>
      <x:c r="G39" s="70" t="n">
        <x:v>4.5</x:v>
      </x:c>
      <x:c r="H39" s="71">
        <x:f>ROUND(G39*(1+$H$9),2)</x:f>
        <x:v>4.7</x:v>
      </x:c>
      <x:c r="I39" s="2" t="inlineStr">
        <x:is>
          <x:t xml:space="preserve">$/attendee</x:t>
        </x:is>
      </x:c>
      <x:c r="J39" s="2" t="inlineStr">
        <x:is>
          <x:t xml:space="preserve">Model methodology</x:t>
        </x:is>
      </x:c>
      <x:c r="K39" s="2" t="inlineStr">
        <x:is>
          <x:t xml:space="preserve">Estimate/Projection</x:t>
        </x:is>
      </x:c>
    </x:row>
    <x:row r="40">
      <x:c r="A40" s="15" t="inlineStr">
        <x:is>
          <x:t xml:space="preserve">ANCILLARY</x:t>
        </x:is>
      </x:c>
      <x:c r="B40" s="16" t="inlineStr">
        <x:is>
          <x:t xml:space="preserve">Parking fee assumption</x:t>
        </x:is>
      </x:c>
      <x:c r="C40" s="70" t="n">
        <x:v>15</x:v>
      </x:c>
      <x:c r="D40" s="70" t="n">
        <x:v>15</x:v>
      </x:c>
      <x:c r="E40" s="70" t="n">
        <x:v>15</x:v>
      </x:c>
      <x:c r="F40" s="70" t="n">
        <x:v>18</x:v>
      </x:c>
      <x:c r="G40" s="70" t="n">
        <x:v>20</x:v>
      </x:c>
      <x:c r="H40" s="70" t="n">
        <x:v>21</x:v>
      </x:c>
      <x:c r="I40" s="2" t="inlineStr">
        <x:is>
          <x:t xml:space="preserve">$/vehicle</x:t>
        </x:is>
      </x:c>
      <x:c r="J40" s="2" t="inlineStr">
        <x:is>
          <x:t xml:space="preserve">https://pechangaarenasd.com/plan-your-visit/directions-parking/</x:t>
        </x:is>
      </x:c>
      <x:c r="K40" s="2" t="inlineStr">
        <x:is>
          <x:t xml:space="preserve">Estimate/Projection</x:t>
        </x:is>
      </x:c>
    </x:row>
    <x:row r="41">
      <x:c r="A41" s="15" t="inlineStr">
        <x:is>
          <x:t xml:space="preserve">ANCILLARY</x:t>
        </x:is>
      </x:c>
      <x:c r="B41" s="16" t="inlineStr">
        <x:is>
          <x:t xml:space="preserve">Average auto occupancy</x:t>
        </x:is>
      </x:c>
      <x:c r="C41" s="28" t="n">
        <x:v>2.6</x:v>
      </x:c>
      <x:c r="D41" s="28" t="n">
        <x:v>2.6</x:v>
      </x:c>
      <x:c r="E41" s="28" t="n">
        <x:v>2.6</x:v>
      </x:c>
      <x:c r="F41" s="28" t="n">
        <x:v>2.5</x:v>
      </x:c>
      <x:c r="G41" s="28" t="n">
        <x:v>2.5</x:v>
      </x:c>
      <x:c r="H41" s="28" t="n">
        <x:v>2.5</x:v>
      </x:c>
      <x:c r="I41" s="2" t="inlineStr">
        <x:is>
          <x:t xml:space="preserve">persons/vehicle</x:t>
        </x:is>
      </x:c>
      <x:c r="J41" s="2" t="inlineStr">
        <x:is>
          <x:t xml:space="preserve">Model methodology</x:t>
        </x:is>
      </x:c>
      <x:c r="K41" s="2" t="inlineStr">
        <x:is>
          <x:t xml:space="preserve">Estimate</x:t>
        </x:is>
      </x:c>
    </x:row>
    <x:row r="42">
      <x:c r="A42" s="15" t="inlineStr">
        <x:is>
          <x:t xml:space="preserve">ANCILLARY</x:t>
        </x:is>
      </x:c>
      <x:c r="B42" s="16" t="inlineStr">
        <x:is>
          <x:t xml:space="preserve">Team share of parking</x:t>
        </x:is>
      </x:c>
      <x:c r="C42" s="64" t="n">
        <x:v>0.05</x:v>
      </x:c>
      <x:c r="D42" s="64" t="n">
        <x:v>0.05</x:v>
      </x:c>
      <x:c r="E42" s="64" t="n">
        <x:v>0.05</x:v>
      </x:c>
      <x:c r="F42" s="64" t="n">
        <x:v>0.05</x:v>
      </x:c>
      <x:c r="G42" s="64" t="n">
        <x:v>0.05</x:v>
      </x:c>
      <x:c r="H42" s="64" t="n">
        <x:v>0.05</x:v>
      </x:c>
      <x:c r="I42" s="2" t="inlineStr">
        <x:is>
          <x:t xml:space="preserve">pct</x:t>
        </x:is>
      </x:c>
      <x:c r="J42" s="2" t="inlineStr">
        <x:is>
          <x:t xml:space="preserve">Model methodology</x:t>
        </x:is>
      </x:c>
      <x:c r="K42" s="2" t="inlineStr">
        <x:is>
          <x:t xml:space="preserve">Estimate</x:t>
        </x:is>
      </x:c>
    </x:row>
    <x:row r="43">
      <x:c r="A43" s="10" t="inlineStr">
        <x:is>
          <x:t xml:space="preserve">SPONSORSHIP</x:t>
        </x:is>
      </x:c>
      <x:c r="B43" s="11" t="inlineStr">
        <x:is>
          <x:t xml:space="preserve">Total sponsorship revenue</x:t>
        </x:is>
      </x:c>
      <x:c r="C43" s="74" t="n">
        <x:v>1950000</x:v>
      </x:c>
      <x:c r="D43" s="74" t="n">
        <x:v>2000000</x:v>
      </x:c>
      <x:c r="E43" s="74" t="n">
        <x:v>2200000</x:v>
      </x:c>
      <x:c r="F43" s="74" t="n">
        <x:v>2450000</x:v>
      </x:c>
      <x:c r="G43" s="74" t="n">
        <x:v>2700000</x:v>
      </x:c>
      <x:c r="H43" s="69">
        <x:f>ROUND(G43*(1+$H$7),0)</x:f>
        <x:v>2951100</x:v>
      </x:c>
      <x:c r="I43" s="14" t="inlineStr">
        <x:is>
          <x:t xml:space="preserve">$</x:t>
        </x:is>
      </x:c>
      <x:c r="J43" s="14" t="inlineStr">
        <x:is>
          <x:t xml:space="preserve">Model methodology</x:t>
        </x:is>
      </x:c>
      <x:c r="K43" s="14" t="inlineStr">
        <x:is>
          <x:t xml:space="preserve">Estimate/Projection</x:t>
        </x:is>
      </x:c>
    </x:row>
    <x:row r="44">
      <x:c r="A44" s="15" t="inlineStr">
        <x:is>
          <x:t xml:space="preserve">SPONSORSHIP</x:t>
        </x:is>
      </x:c>
      <x:c r="B44" s="16" t="inlineStr">
        <x:is>
          <x:t xml:space="preserve">Title partner value</x:t>
        </x:is>
      </x:c>
      <x:c r="C44" s="73" t="n">
        <x:v>450000</x:v>
      </x:c>
      <x:c r="D44" s="73" t="n">
        <x:v>450000</x:v>
      </x:c>
      <x:c r="E44" s="73" t="n">
        <x:v>480000</x:v>
      </x:c>
      <x:c r="F44" s="73" t="n">
        <x:v>500000</x:v>
      </x:c>
      <x:c r="G44" s="73" t="n">
        <x:v>550000</x:v>
      </x:c>
      <x:c r="H44" s="73" t="n">
        <x:v>580000</x:v>
      </x:c>
      <x:c r="I44" s="2" t="inlineStr">
        <x:is>
          <x:t xml:space="preserve">$</x:t>
        </x:is>
      </x:c>
      <x:c r="J44" s="2" t="inlineStr">
        <x:is>
          <x:t xml:space="preserve">Model methodology</x:t>
        </x:is>
      </x:c>
      <x:c r="K44" s="2" t="inlineStr">
        <x:is>
          <x:t xml:space="preserve">Estimate</x:t>
        </x:is>
      </x:c>
    </x:row>
    <x:row r="45">
      <x:c r="A45" s="15" t="inlineStr">
        <x:is>
          <x:t xml:space="preserve">SPONSORSHIP</x:t>
        </x:is>
      </x:c>
      <x:c r="B45" s="16" t="inlineStr">
        <x:is>
          <x:t xml:space="preserve">Jersey / patch revenue</x:t>
        </x:is>
      </x:c>
      <x:c r="C45" s="70" t="n">
        <x:v>0</x:v>
      </x:c>
      <x:c r="D45" s="70" t="n">
        <x:v>0</x:v>
      </x:c>
      <x:c r="E45" s="73" t="n">
        <x:v>150000</x:v>
      </x:c>
      <x:c r="F45" s="73" t="n">
        <x:v>180000</x:v>
      </x:c>
      <x:c r="G45" s="73" t="n">
        <x:v>200000</x:v>
      </x:c>
      <x:c r="H45" s="73" t="n">
        <x:v>220000</x:v>
      </x:c>
      <x:c r="I45" s="2" t="inlineStr">
        <x:is>
          <x:t xml:space="preserve">$</x:t>
        </x:is>
      </x:c>
      <x:c r="J45" s="2" t="inlineStr">
        <x:is>
          <x:t xml:space="preserve">Model methodology</x:t>
        </x:is>
      </x:c>
      <x:c r="K45" s="2" t="inlineStr">
        <x:is>
          <x:t xml:space="preserve">Estimate</x:t>
        </x:is>
      </x:c>
    </x:row>
    <x:row r="46">
      <x:c r="A46" s="15" t="inlineStr">
        <x:is>
          <x:t xml:space="preserve">SPONSORSHIP</x:t>
        </x:is>
      </x:c>
      <x:c r="B46" s="16" t="inlineStr">
        <x:is>
          <x:t xml:space="preserve">Digital inventory yield</x:t>
        </x:is>
      </x:c>
      <x:c r="C46" s="73" t="n">
        <x:v>80000</x:v>
      </x:c>
      <x:c r="D46" s="73" t="n">
        <x:v>90000</x:v>
      </x:c>
      <x:c r="E46" s="73" t="n">
        <x:v>110000</x:v>
      </x:c>
      <x:c r="F46" s="73" t="n">
        <x:v>130000</x:v>
      </x:c>
      <x:c r="G46" s="73" t="n">
        <x:v>150000</x:v>
      </x:c>
      <x:c r="H46" s="73" t="n">
        <x:v>165000</x:v>
      </x:c>
      <x:c r="I46" s="2" t="inlineStr">
        <x:is>
          <x:t xml:space="preserve">$</x:t>
        </x:is>
      </x:c>
      <x:c r="J46" s="2" t="inlineStr">
        <x:is>
          <x:t xml:space="preserve">Model methodology</x:t>
        </x:is>
      </x:c>
      <x:c r="K46" s="2" t="inlineStr">
        <x:is>
          <x:t xml:space="preserve">Estimate</x:t>
        </x:is>
      </x:c>
    </x:row>
    <x:row r="47">
      <x:c r="A47" s="10" t="inlineStr">
        <x:is>
          <x:t xml:space="preserve">MEDIA</x:t>
        </x:is>
      </x:c>
      <x:c r="B47" s="11" t="inlineStr">
        <x:is>
          <x:t xml:space="preserve">Broadcast / streaming value</x:t>
        </x:is>
      </x:c>
      <x:c r="C47" s="74" t="n">
        <x:v>150000</x:v>
      </x:c>
      <x:c r="D47" s="74" t="n">
        <x:v>100000</x:v>
      </x:c>
      <x:c r="E47" s="74" t="n">
        <x:v>100000</x:v>
      </x:c>
      <x:c r="F47" s="74" t="n">
        <x:v>110000</x:v>
      </x:c>
      <x:c r="G47" s="74" t="n">
        <x:v>130000</x:v>
      </x:c>
      <x:c r="H47" s="74" t="n">
        <x:v>145000</x:v>
      </x:c>
      <x:c r="I47" s="14" t="inlineStr">
        <x:is>
          <x:t xml:space="preserve">$</x:t>
        </x:is>
      </x:c>
      <x:c r="J47" s="14" t="inlineStr">
        <x:is>
          <x:t xml:space="preserve">https://theahl.com/news/ahl-flosports-partnership-extension</x:t>
        </x:is>
      </x:c>
      <x:c r="K47" s="14" t="inlineStr">
        <x:is>
          <x:t xml:space="preserve">Estimate</x:t>
        </x:is>
      </x:c>
    </x:row>
    <x:row r="48">
      <x:c r="A48" s="10" t="inlineStr">
        <x:is>
          <x:t xml:space="preserve">DIGITAL</x:t>
        </x:is>
      </x:c>
      <x:c r="B48" s="11" t="inlineStr">
        <x:is>
          <x:t xml:space="preserve">Email subscribers (estimated active)</x:t>
        </x:is>
      </x:c>
      <x:c r="C48" s="65" t="n">
        <x:v>18000</x:v>
      </x:c>
      <x:c r="D48" s="65" t="n">
        <x:v>19000</x:v>
      </x:c>
      <x:c r="E48" s="65" t="n">
        <x:v>20000</x:v>
      </x:c>
      <x:c r="F48" s="65" t="n">
        <x:v>21000</x:v>
      </x:c>
      <x:c r="G48" s="65" t="n">
        <x:v>22000</x:v>
      </x:c>
      <x:c r="H48" s="65" t="n">
        <x:v>23000</x:v>
      </x:c>
      <x:c r="I48" s="14" t="inlineStr">
        <x:is>
          <x:t xml:space="preserve">subs</x:t>
        </x:is>
      </x:c>
      <x:c r="J48" s="14" t="inlineStr">
        <x:is>
          <x:t xml:space="preserve">Model methodology</x:t>
        </x:is>
      </x:c>
      <x:c r="K48" s="14" t="inlineStr">
        <x:is>
          <x:t xml:space="preserve">Estimate</x:t>
        </x:is>
      </x:c>
    </x:row>
    <x:row r="49">
      <x:c r="A49" s="15" t="inlineStr">
        <x:is>
          <x:t xml:space="preserve">DIGITAL</x:t>
        </x:is>
      </x:c>
      <x:c r="B49" s="16" t="inlineStr">
        <x:is>
          <x:t xml:space="preserve">Social audience (aggregate est.)</x:t>
        </x:is>
      </x:c>
      <x:c r="C49" s="67" t="n">
        <x:v>150000</x:v>
      </x:c>
      <x:c r="D49" s="67" t="n">
        <x:v>165000</x:v>
      </x:c>
      <x:c r="E49" s="67" t="n">
        <x:v>180000</x:v>
      </x:c>
      <x:c r="F49" s="67" t="n">
        <x:v>195000</x:v>
      </x:c>
      <x:c r="G49" s="67" t="n">
        <x:v>205000</x:v>
      </x:c>
      <x:c r="H49" s="67" t="n">
        <x:v>215000</x:v>
      </x:c>
      <x:c r="I49" s="2" t="inlineStr">
        <x:is>
          <x:t xml:space="preserve">followers</x:t>
        </x:is>
      </x:c>
      <x:c r="J49" s="2" t="inlineStr">
        <x:is>
          <x:t xml:space="preserve">Multiple public social snippets</x:t>
        </x:is>
      </x:c>
      <x:c r="K49" s="2" t="inlineStr">
        <x:is>
          <x:t xml:space="preserve">Estimate</x:t>
        </x:is>
      </x:c>
    </x:row>
    <x:row r="50">
      <x:c r="A50" s="15" t="inlineStr">
        <x:is>
          <x:t xml:space="preserve">DIGITAL</x:t>
        </x:is>
      </x:c>
      <x:c r="B50" s="16" t="inlineStr">
        <x:is>
          <x:t xml:space="preserve">Website monthly visits</x:t>
        </x:is>
      </x:c>
      <x:c r="C50" s="67" t="n">
        <x:v>28000</x:v>
      </x:c>
      <x:c r="D50" s="67" t="n">
        <x:v>29000</x:v>
      </x:c>
      <x:c r="E50" s="67" t="n">
        <x:v>31000</x:v>
      </x:c>
      <x:c r="F50" s="67" t="n">
        <x:v>33000</x:v>
      </x:c>
      <x:c r="G50" s="67" t="n">
        <x:v>35200</x:v>
      </x:c>
      <x:c r="H50" s="75">
        <x:f>ROUND(G50*(1+$H$12),0)</x:f>
        <x:v>38016</x:v>
      </x:c>
      <x:c r="I50" s="2" t="inlineStr">
        <x:is>
          <x:t xml:space="preserve">visits</x:t>
        </x:is>
      </x:c>
      <x:c r="J50" s="2" t="inlineStr">
        <x:is>
          <x:t xml:space="preserve">https://www.similarweb.com/website/sandiegogulls.com/</x:t>
        </x:is>
      </x:c>
      <x:c r="K50" s="2" t="inlineStr">
        <x:is>
          <x:t xml:space="preserve">Estimate/Projection</x:t>
        </x:is>
      </x:c>
    </x:row>
    <x:row r="51">
      <x:c r="A51" s="15" t="inlineStr">
        <x:is>
          <x:t xml:space="preserve">DIGITAL</x:t>
        </x:is>
      </x:c>
      <x:c r="B51" s="16" t="inlineStr">
        <x:is>
          <x:t xml:space="preserve">Bounce rate</x:t>
        </x:is>
      </x:c>
      <x:c r="C51" s="64" t="n">
        <x:v>0.5</x:v>
      </x:c>
      <x:c r="D51" s="64" t="n">
        <x:v>0.495</x:v>
      </x:c>
      <x:c r="E51" s="64" t="n">
        <x:v>0.49</x:v>
      </x:c>
      <x:c r="F51" s="64" t="n">
        <x:v>0.48</x:v>
      </x:c>
      <x:c r="G51" s="64" t="n">
        <x:v>0.4725</x:v>
      </x:c>
      <x:c r="H51" s="64" t="n">
        <x:v>0.465</x:v>
      </x:c>
      <x:c r="I51" s="2" t="inlineStr">
        <x:is>
          <x:t xml:space="preserve">pct</x:t>
        </x:is>
      </x:c>
      <x:c r="J51" s="2" t="inlineStr">
        <x:is>
          <x:t xml:space="preserve">https://www.similarweb.com/website/sandiegogulls.com/</x:t>
        </x:is>
      </x:c>
      <x:c r="K51" s="2" t="inlineStr">
        <x:is>
          <x:t xml:space="preserve">Estimate/Projection</x:t>
        </x:is>
      </x:c>
    </x:row>
    <x:row r="52">
      <x:c r="A52" s="15" t="inlineStr">
        <x:is>
          <x:t xml:space="preserve">DIGITAL</x:t>
        </x:is>
      </x:c>
      <x:c r="B52" s="16" t="inlineStr">
        <x:is>
          <x:t xml:space="preserve">Pages per visit</x:t>
        </x:is>
      </x:c>
      <x:c r="C52" s="28" t="n">
        <x:v>1.55</x:v>
      </x:c>
      <x:c r="D52" s="28" t="n">
        <x:v>1.6</x:v>
      </x:c>
      <x:c r="E52" s="28" t="n">
        <x:v>1.65</x:v>
      </x:c>
      <x:c r="F52" s="28" t="n">
        <x:v>1.72</x:v>
      </x:c>
      <x:c r="G52" s="28" t="n">
        <x:v>1.8</x:v>
      </x:c>
      <x:c r="H52" s="28" t="n">
        <x:v>1.9</x:v>
      </x:c>
      <x:c r="I52" s="2" t="inlineStr">
        <x:is>
          <x:t xml:space="preserve">pages</x:t>
        </x:is>
      </x:c>
      <x:c r="J52" s="2" t="inlineStr">
        <x:is>
          <x:t xml:space="preserve">https://www.similarweb.com/website/sandiegogulls.com/</x:t>
        </x:is>
      </x:c>
      <x:c r="K52" s="2" t="inlineStr">
        <x:is>
          <x:t xml:space="preserve">Estimate/Projection</x:t>
        </x:is>
      </x:c>
    </x:row>
    <x:row r="53">
      <x:c r="A53" s="15" t="inlineStr">
        <x:is>
          <x:t xml:space="preserve">DIGITAL</x:t>
        </x:is>
      </x:c>
      <x:c r="B53" s="16" t="inlineStr">
        <x:is>
          <x:t xml:space="preserve">Average visit duration (sec)</x:t>
        </x:is>
      </x:c>
      <x:c r="C53" s="28" t="n">
        <x:v>60</x:v>
      </x:c>
      <x:c r="D53" s="28" t="n">
        <x:v>62</x:v>
      </x:c>
      <x:c r="E53" s="28" t="n">
        <x:v>65</x:v>
      </x:c>
      <x:c r="F53" s="28" t="n">
        <x:v>68</x:v>
      </x:c>
      <x:c r="G53" s="28" t="n">
        <x:v>70</x:v>
      </x:c>
      <x:c r="H53" s="28" t="n">
        <x:v>75</x:v>
      </x:c>
      <x:c r="I53" s="2" t="inlineStr">
        <x:is>
          <x:t xml:space="preserve">sec</x:t>
        </x:is>
      </x:c>
      <x:c r="J53" s="2" t="inlineStr">
        <x:is>
          <x:t xml:space="preserve">https://www.similarweb.com/website/sandiegogulls.com/</x:t>
        </x:is>
      </x:c>
      <x:c r="K53" s="2" t="inlineStr">
        <x:is>
          <x:t xml:space="preserve">Estimate/Projection</x:t>
        </x:is>
      </x:c>
    </x:row>
    <x:row r="54">
      <x:c r="A54" s="15" t="inlineStr">
        <x:is>
          <x:t xml:space="preserve">DIGITAL</x:t>
        </x:is>
      </x:c>
      <x:c r="B54" s="16" t="inlineStr">
        <x:is>
          <x:t xml:space="preserve">Organic search share</x:t>
        </x:is>
      </x:c>
      <x:c r="C54" s="64" t="n">
        <x:v>0.4</x:v>
      </x:c>
      <x:c r="D54" s="64" t="n">
        <x:v>0.41</x:v>
      </x:c>
      <x:c r="E54" s="64" t="n">
        <x:v>0.43</x:v>
      </x:c>
      <x:c r="F54" s="64" t="n">
        <x:v>0.44</x:v>
      </x:c>
      <x:c r="G54" s="64" t="n">
        <x:v>0.4551</x:v>
      </x:c>
      <x:c r="H54" s="64" t="n">
        <x:v>0.46</x:v>
      </x:c>
      <x:c r="I54" s="2" t="inlineStr">
        <x:is>
          <x:t xml:space="preserve">pct</x:t>
        </x:is>
      </x:c>
      <x:c r="J54" s="2" t="inlineStr">
        <x:is>
          <x:t xml:space="preserve">https://www.similarweb.com/website/sandiegogulls.com/</x:t>
        </x:is>
      </x:c>
      <x:c r="K54" s="2" t="inlineStr">
        <x:is>
          <x:t xml:space="preserve">Estimate/Projection</x:t>
        </x:is>
      </x:c>
    </x:row>
    <x:row r="55">
      <x:c r="A55" s="10" t="inlineStr">
        <x:is>
          <x:t xml:space="preserve">MARKETING</x:t>
        </x:is>
      </x:c>
      <x:c r="B55" s="11" t="inlineStr">
        <x:is>
          <x:t xml:space="preserve">Customer acquisition cost</x:t>
        </x:is>
      </x:c>
      <x:c r="C55" s="68" t="n">
        <x:v>45</x:v>
      </x:c>
      <x:c r="D55" s="68" t="n">
        <x:v>44</x:v>
      </x:c>
      <x:c r="E55" s="68" t="n">
        <x:v>42</x:v>
      </x:c>
      <x:c r="F55" s="68" t="n">
        <x:v>40</x:v>
      </x:c>
      <x:c r="G55" s="68" t="n">
        <x:v>39</x:v>
      </x:c>
      <x:c r="H55" s="68" t="n">
        <x:v>37</x:v>
      </x:c>
      <x:c r="I55" s="14" t="inlineStr">
        <x:is>
          <x:t xml:space="preserve">$/new buyer</x:t>
        </x:is>
      </x:c>
      <x:c r="J55" s="14" t="inlineStr">
        <x:is>
          <x:t xml:space="preserve">Model methodology</x:t>
        </x:is>
      </x:c>
      <x:c r="K55" s="14" t="inlineStr">
        <x:is>
          <x:t xml:space="preserve">Estimate</x:t>
        </x:is>
      </x:c>
    </x:row>
    <x:row r="56">
      <x:c r="A56" s="15" t="inlineStr">
        <x:is>
          <x:t xml:space="preserve">MARKETING</x:t>
        </x:is>
      </x:c>
      <x:c r="B56" s="16" t="inlineStr">
        <x:is>
          <x:t xml:space="preserve">Net promoter score</x:t>
        </x:is>
      </x:c>
      <x:c r="C56" s="67" t="n">
        <x:v>45</x:v>
      </x:c>
      <x:c r="D56" s="67" t="n">
        <x:v>43</x:v>
      </x:c>
      <x:c r="E56" s="67" t="n">
        <x:v>46</x:v>
      </x:c>
      <x:c r="F56" s="67" t="n">
        <x:v>50</x:v>
      </x:c>
      <x:c r="G56" s="67" t="n">
        <x:v>54</x:v>
      </x:c>
      <x:c r="H56" s="67" t="n">
        <x:v>56</x:v>
      </x:c>
      <x:c r="I56" s="2" t="inlineStr">
        <x:is>
          <x:t xml:space="preserve">pts</x:t>
        </x:is>
      </x:c>
      <x:c r="J56" s="2" t="inlineStr">
        <x:is>
          <x:t xml:space="preserve">Model methodology</x:t>
        </x:is>
      </x:c>
      <x:c r="K56" s="2" t="inlineStr">
        <x:is>
          <x:t xml:space="preserve">Estimate</x:t>
        </x:is>
      </x:c>
    </x:row>
    <x:row r="57">
      <x:c r="A57" s="10" t="inlineStr">
        <x:is>
          <x:t xml:space="preserve">ARENA</x:t>
        </x:is>
      </x:c>
      <x:c r="B57" s="11" t="inlineStr">
        <x:is>
          <x:t xml:space="preserve">Facility fee per paid ticket</x:t>
        </x:is>
      </x:c>
      <x:c r="C57" s="76" t="n"/>
      <x:c r="D57" s="76" t="n"/>
      <x:c r="E57" s="68" t="n">
        <x:v>2.5</x:v>
      </x:c>
      <x:c r="F57" s="68" t="n">
        <x:v>3</x:v>
      </x:c>
      <x:c r="G57" s="68" t="n">
        <x:v>3</x:v>
      </x:c>
      <x:c r="H57" s="68" t="n">
        <x:v>3</x:v>
      </x:c>
      <x:c r="I57" s="14" t="inlineStr">
        <x:is>
          <x:t xml:space="preserve">$/ticket</x:t>
        </x:is>
      </x:c>
      <x:c r="J57" s="14" t="inlineStr">
        <x:is>
          <x:t xml:space="preserve">Lease-era reporting / model assumption</x:t>
        </x:is>
      </x:c>
      <x:c r="K57" s="14" t="inlineStr">
        <x:is>
          <x:t xml:space="preserve">Estimate</x:t>
        </x:is>
      </x:c>
    </x:row>
    <x:row r="58">
      <x:c r="A58" s="15" t="inlineStr">
        <x:is>
          <x:t xml:space="preserve">ARENA</x:t>
        </x:is>
      </x:c>
      <x:c r="B58" s="16" t="inlineStr">
        <x:is>
          <x:t xml:space="preserve">Base rent floor (annualized)</x:t>
        </x:is>
      </x:c>
      <x:c r="C58" s="72" t="n"/>
      <x:c r="D58" s="72" t="n"/>
      <x:c r="E58" s="73" t="n">
        <x:v>775716</x:v>
      </x:c>
      <x:c r="F58" s="73" t="n">
        <x:v>799107</x:v>
      </x:c>
      <x:c r="G58" s="73" t="n">
        <x:v>823084</x:v>
      </x:c>
      <x:c r="H58" s="73" t="n">
        <x:v>839546</x:v>
      </x:c>
      <x:c r="I58" s="2" t="inlineStr">
        <x:is>
          <x:t xml:space="preserve">$</x:t>
        </x:is>
      </x:c>
      <x:c r="J58" s="2" t="inlineStr">
        <x:is>
          <x:t xml:space="preserve">https://www.lee-associates.com/elee/utc/newsletter/091224/article3.pdf</x:t>
        </x:is>
      </x:c>
      <x:c r="K58" s="2" t="inlineStr">
        <x:is>
          <x:t xml:space="preserve">Public/Projection</x:t>
        </x:is>
      </x:c>
    </x:row>
    <x:row r="59">
      <x:c r="A59" s="15" t="inlineStr">
        <x:is>
          <x:t xml:space="preserve">ARENA</x:t>
        </x:is>
      </x:c>
      <x:c r="B59" s="16" t="inlineStr">
        <x:is>
          <x:t xml:space="preserve">Rent escalator</x:t>
        </x:is>
      </x:c>
      <x:c r="C59" s="63" t="n"/>
      <x:c r="D59" s="63" t="n"/>
      <x:c r="E59" s="63" t="n"/>
      <x:c r="F59" s="64" t="n">
        <x:v>0.03</x:v>
      </x:c>
      <x:c r="G59" s="64" t="n">
        <x:v>0.03</x:v>
      </x:c>
      <x:c r="H59" s="64" t="n">
        <x:v>0.02</x:v>
      </x:c>
      <x:c r="I59" s="2" t="inlineStr">
        <x:is>
          <x:t xml:space="preserve">pct</x:t>
        </x:is>
      </x:c>
      <x:c r="J59" s="2" t="inlineStr">
        <x:is>
          <x:t xml:space="preserve">Lease-era reporting / model assumption</x:t>
        </x:is>
      </x:c>
      <x:c r="K59" s="2" t="inlineStr">
        <x:is>
          <x:t xml:space="preserve">Derived/Projection</x:t>
        </x:is>
      </x:c>
    </x:row>
    <x:row r="60">
      <x:c r="A60" s="15" t="inlineStr">
        <x:is>
          <x:t xml:space="preserve">ARENA</x:t>
        </x:is>
      </x:c>
      <x:c r="B60" s="16" t="inlineStr">
        <x:is>
          <x:t xml:space="preserve">Security / police overhead per event</x:t>
        </x:is>
      </x:c>
      <x:c r="C60" s="73" t="n">
        <x:v>12000</x:v>
      </x:c>
      <x:c r="D60" s="73" t="n">
        <x:v>12000</x:v>
      </x:c>
      <x:c r="E60" s="73" t="n">
        <x:v>13000</x:v>
      </x:c>
      <x:c r="F60" s="73" t="n">
        <x:v>14000</x:v>
      </x:c>
      <x:c r="G60" s="73" t="n">
        <x:v>15000</x:v>
      </x:c>
      <x:c r="H60" s="73" t="n">
        <x:v>15500</x:v>
      </x:c>
      <x:c r="I60" s="2" t="inlineStr">
        <x:is>
          <x:t xml:space="preserve">$</x:t>
        </x:is>
      </x:c>
      <x:c r="J60" s="2" t="inlineStr">
        <x:is>
          <x:t xml:space="preserve">https://www.sandiego.gov/sites/default/files/specialeventsopsmanual2020.pdf</x:t>
        </x:is>
      </x:c>
      <x:c r="K60" s="2" t="inlineStr">
        <x:is>
          <x:t xml:space="preserve">Estimate</x:t>
        </x:is>
      </x:c>
    </x:row>
    <x:row r="61">
      <x:c r="A61" s="15" t="inlineStr">
        <x:is>
          <x:t xml:space="preserve">ARENA</x:t>
        </x:is>
      </x:c>
      <x:c r="B61" s="16" t="inlineStr">
        <x:is>
          <x:t xml:space="preserve">Utilities &amp; HVAC load</x:t>
        </x:is>
      </x:c>
      <x:c r="C61" s="73" t="n">
        <x:v>180000</x:v>
      </x:c>
      <x:c r="D61" s="73" t="n">
        <x:v>190000</x:v>
      </x:c>
      <x:c r="E61" s="73" t="n">
        <x:v>210000</x:v>
      </x:c>
      <x:c r="F61" s="73" t="n">
        <x:v>230000</x:v>
      </x:c>
      <x:c r="G61" s="73" t="n">
        <x:v>250000</x:v>
      </x:c>
      <x:c r="H61" s="73" t="n">
        <x:v>260000</x:v>
      </x:c>
      <x:c r="I61" s="2" t="inlineStr">
        <x:is>
          <x:t xml:space="preserve">$</x:t>
        </x:is>
      </x:c>
      <x:c r="J61" s="2" t="inlineStr">
        <x:is>
          <x:t xml:space="preserve">Model methodology</x:t>
        </x:is>
      </x:c>
      <x:c r="K61" s="2" t="inlineStr">
        <x:is>
          <x:t xml:space="preserve">Estimate</x:t>
        </x:is>
      </x:c>
    </x:row>
    <x:row r="62">
      <x:c r="A62" s="15" t="inlineStr">
        <x:is>
          <x:t xml:space="preserve">ARENA</x:t>
        </x:is>
      </x:c>
      <x:c r="B62" s="16" t="inlineStr">
        <x:is>
          <x:t xml:space="preserve">Load-in / load-out allocation</x:t>
        </x:is>
      </x:c>
      <x:c r="C62" s="73" t="n">
        <x:v>80000</x:v>
      </x:c>
      <x:c r="D62" s="73" t="n">
        <x:v>85000</x:v>
      </x:c>
      <x:c r="E62" s="73" t="n">
        <x:v>90000</x:v>
      </x:c>
      <x:c r="F62" s="73" t="n">
        <x:v>95000</x:v>
      </x:c>
      <x:c r="G62" s="73" t="n">
        <x:v>100000</x:v>
      </x:c>
      <x:c r="H62" s="73" t="n">
        <x:v>105000</x:v>
      </x:c>
      <x:c r="I62" s="2" t="inlineStr">
        <x:is>
          <x:t xml:space="preserve">$</x:t>
        </x:is>
      </x:c>
      <x:c r="J62" s="2" t="inlineStr">
        <x:is>
          <x:t xml:space="preserve">Model methodology</x:t>
        </x:is>
      </x:c>
      <x:c r="K62" s="2" t="inlineStr">
        <x:is>
          <x:t xml:space="preserve">Estimate</x:t>
        </x:is>
      </x:c>
    </x:row>
    <x:row r="63">
      <x:c r="A63" s="15" t="inlineStr">
        <x:is>
          <x:t xml:space="preserve">ARENA</x:t>
        </x:is>
      </x:c>
      <x:c r="B63" s="16" t="inlineStr">
        <x:is>
          <x:t xml:space="preserve">Midway district assessment / CFD</x:t>
        </x:is>
      </x:c>
      <x:c r="C63" s="70" t="n">
        <x:v>0</x:v>
      </x:c>
      <x:c r="D63" s="70" t="n">
        <x:v>0</x:v>
      </x:c>
      <x:c r="E63" s="70" t="n">
        <x:v>0</x:v>
      </x:c>
      <x:c r="F63" s="70" t="n">
        <x:v>0</x:v>
      </x:c>
      <x:c r="G63" s="70" t="n">
        <x:v>0</x:v>
      </x:c>
      <x:c r="H63" s="70" t="n">
        <x:v>0</x:v>
      </x:c>
      <x:c r="I63" s="2" t="inlineStr">
        <x:is>
          <x:t xml:space="preserve">$</x:t>
        </x:is>
      </x:c>
      <x:c r="J63" s="2" t="inlineStr">
        <x:is>
          <x:t xml:space="preserve">Public review</x:t>
        </x:is>
      </x:c>
      <x:c r="K63" s="2" t="inlineStr">
        <x:is>
          <x:t xml:space="preserve">Context</x:t>
        </x:is>
      </x:c>
    </x:row>
    <x:row r="64">
      <x:c r="A64" s="15" t="inlineStr">
        <x:is>
          <x:t xml:space="preserve">ARENA</x:t>
        </x:is>
      </x:c>
      <x:c r="B64" s="16" t="inlineStr">
        <x:is>
          <x:t xml:space="preserve">Lease horizon (months remaining)</x:t>
        </x:is>
      </x:c>
      <x:c r="C64" s="77" t="n"/>
      <x:c r="D64" s="77" t="n"/>
      <x:c r="E64" s="67" t="n">
        <x:v>29</x:v>
      </x:c>
      <x:c r="F64" s="67" t="n">
        <x:v>17</x:v>
      </x:c>
      <x:c r="G64" s="67" t="n">
        <x:v>5</x:v>
      </x:c>
      <x:c r="H64" s="67" t="n">
        <x:v>0</x:v>
      </x:c>
      <x:c r="I64" s="2" t="inlineStr">
        <x:is>
          <x:t xml:space="preserve">months</x:t>
        </x:is>
      </x:c>
      <x:c r="J64" s="2" t="inlineStr">
        <x:is>
          <x:t xml:space="preserve">https://www.sandiego.gov/economic-development/real-estate/midway-rising</x:t>
        </x:is>
      </x:c>
      <x:c r="K64" s="2" t="inlineStr">
        <x:is>
          <x:t xml:space="preserve">Estimate</x:t>
        </x:is>
      </x:c>
    </x:row>
    <x:row r="65">
      <x:c r="A65" s="15" t="inlineStr">
        <x:is>
          <x:t xml:space="preserve">ARENA</x:t>
        </x:is>
      </x:c>
      <x:c r="B65" s="16" t="inlineStr">
        <x:is>
          <x:t xml:space="preserve">Naming-rights tranche allocable to team ops</x:t>
        </x:is>
      </x:c>
      <x:c r="C65" s="73" t="n">
        <x:v>250000</x:v>
      </x:c>
      <x:c r="D65" s="73" t="n">
        <x:v>250000</x:v>
      </x:c>
      <x:c r="E65" s="73" t="n">
        <x:v>260000</x:v>
      </x:c>
      <x:c r="F65" s="73" t="n">
        <x:v>275000</x:v>
      </x:c>
      <x:c r="G65" s="73" t="n">
        <x:v>300000</x:v>
      </x:c>
      <x:c r="H65" s="73" t="n">
        <x:v>310000</x:v>
      </x:c>
      <x:c r="I65" s="2" t="inlineStr">
        <x:is>
          <x:t xml:space="preserve">$</x:t>
        </x:is>
      </x:c>
      <x:c r="J65" s="2" t="inlineStr">
        <x:is>
          <x:t xml:space="preserve">Model methodology</x:t>
        </x:is>
      </x:c>
      <x:c r="K65" s="2" t="inlineStr">
        <x:is>
          <x:t xml:space="preserve">Estimate</x:t>
        </x:is>
      </x:c>
    </x:row>
    <x:row r="66">
      <x:c r="A66" s="15" t="inlineStr">
        <x:is>
          <x:t xml:space="preserve">ARENA</x:t>
        </x:is>
      </x:c>
      <x:c r="B66" s="16" t="inlineStr">
        <x:is>
          <x:t xml:space="preserve">Tax liability</x:t>
        </x:is>
      </x:c>
      <x:c r="C66" s="73" t="n">
        <x:v>50000</x:v>
      </x:c>
      <x:c r="D66" s="73" t="n">
        <x:v>50000</x:v>
      </x:c>
      <x:c r="E66" s="73" t="n">
        <x:v>50000</x:v>
      </x:c>
      <x:c r="F66" s="73" t="n">
        <x:v>50000</x:v>
      </x:c>
      <x:c r="G66" s="73" t="n">
        <x:v>50000</x:v>
      </x:c>
      <x:c r="H66" s="73" t="n">
        <x:v>50000</x:v>
      </x:c>
      <x:c r="I66" s="2" t="inlineStr">
        <x:is>
          <x:t xml:space="preserve">$</x:t>
        </x:is>
      </x:c>
      <x:c r="J66" s="2" t="inlineStr">
        <x:is>
          <x:t xml:space="preserve">Model methodology</x:t>
        </x:is>
      </x:c>
      <x:c r="K66" s="2" t="inlineStr">
        <x:is>
          <x:t xml:space="preserve">Estimate</x:t>
        </x:is>
      </x:c>
    </x:row>
    <x:row r="67">
      <x:c r="A67" s="15" t="inlineStr">
        <x:is>
          <x:t xml:space="preserve">ARENA</x:t>
        </x:is>
      </x:c>
      <x:c r="B67" s="16" t="inlineStr">
        <x:is>
          <x:t xml:space="preserve">Debt-to-value ratio</x:t>
        </x:is>
      </x:c>
      <x:c r="C67" s="64" t="n">
        <x:v>0.05</x:v>
      </x:c>
      <x:c r="D67" s="64" t="n">
        <x:v>0.05</x:v>
      </x:c>
      <x:c r="E67" s="64" t="n">
        <x:v>0.05</x:v>
      </x:c>
      <x:c r="F67" s="64" t="n">
        <x:v>0.05</x:v>
      </x:c>
      <x:c r="G67" s="64" t="n">
        <x:v>0.05</x:v>
      </x:c>
      <x:c r="H67" s="64" t="n">
        <x:v>0.05</x:v>
      </x:c>
      <x:c r="I67" s="2" t="inlineStr">
        <x:is>
          <x:t xml:space="preserve">pct</x:t>
        </x:is>
      </x:c>
      <x:c r="J67" s="2" t="inlineStr">
        <x:is>
          <x:t xml:space="preserve">Model methodology</x:t>
        </x:is>
      </x:c>
      <x:c r="K67" s="2" t="inlineStr">
        <x:is>
          <x:t xml:space="preserve">Estimate</x:t>
        </x:is>
      </x:c>
    </x:row>
    <x:row r="68">
      <x:c r="A68" s="10" t="inlineStr">
        <x:is>
          <x:t xml:space="preserve">HUMAN CAPITAL</x:t>
        </x:is>
      </x:c>
      <x:c r="B68" s="11" t="inlineStr">
        <x:is>
          <x:t xml:space="preserve">Roster headcount</x:t>
        </x:is>
      </x:c>
      <x:c r="C68" s="65" t="n">
        <x:v>22</x:v>
      </x:c>
      <x:c r="D68" s="65" t="n">
        <x:v>24</x:v>
      </x:c>
      <x:c r="E68" s="65" t="n">
        <x:v>26</x:v>
      </x:c>
      <x:c r="F68" s="65" t="n">
        <x:v>22</x:v>
      </x:c>
      <x:c r="G68" s="65" t="n">
        <x:v>29</x:v>
      </x:c>
      <x:c r="H68" s="65" t="n">
        <x:v>29</x:v>
      </x:c>
      <x:c r="I68" s="14" t="inlineStr">
        <x:is>
          <x:t xml:space="preserve">players</x:t>
        </x:is>
      </x:c>
      <x:c r="J68" s="14" t="inlineStr">
        <x:is>
          <x:t xml:space="preserve">Multiple official roster/game notes sources</x:t>
        </x:is>
      </x:c>
      <x:c r="K68" s="14" t="inlineStr">
        <x:is>
          <x:t xml:space="preserve">Public/Projection</x:t>
        </x:is>
      </x:c>
    </x:row>
    <x:row r="69">
      <x:c r="A69" s="15" t="inlineStr">
        <x:is>
          <x:t xml:space="preserve">HUMAN CAPITAL</x:t>
        </x:is>
      </x:c>
      <x:c r="B69" s="16" t="inlineStr">
        <x:is>
          <x:t xml:space="preserve">Coaching staff payroll</x:t>
        </x:is>
      </x:c>
      <x:c r="C69" s="73" t="n">
        <x:v>550000</x:v>
      </x:c>
      <x:c r="D69" s="73" t="n">
        <x:v>560000</x:v>
      </x:c>
      <x:c r="E69" s="73" t="n">
        <x:v>580000</x:v>
      </x:c>
      <x:c r="F69" s="73" t="n">
        <x:v>620000</x:v>
      </x:c>
      <x:c r="G69" s="73" t="n">
        <x:v>680000</x:v>
      </x:c>
      <x:c r="H69" s="73" t="n">
        <x:v>710000</x:v>
      </x:c>
      <x:c r="I69" s="2" t="inlineStr">
        <x:is>
          <x:t xml:space="preserve">$</x:t>
        </x:is>
      </x:c>
      <x:c r="J69" s="2" t="inlineStr">
        <x:is>
          <x:t xml:space="preserve">Model methodology</x:t>
        </x:is>
      </x:c>
      <x:c r="K69" s="2" t="inlineStr">
        <x:is>
          <x:t xml:space="preserve">Estimate</x:t>
        </x:is>
      </x:c>
    </x:row>
    <x:row r="70">
      <x:c r="A70" s="15" t="inlineStr">
        <x:is>
          <x:t xml:space="preserve">HUMAN CAPITAL</x:t>
        </x:is>
      </x:c>
      <x:c r="B70" s="16" t="inlineStr">
        <x:is>
          <x:t xml:space="preserve">Front office FTE</x:t>
        </x:is>
      </x:c>
      <x:c r="C70" s="67" t="n">
        <x:v>42</x:v>
      </x:c>
      <x:c r="D70" s="67" t="n">
        <x:v>43</x:v>
      </x:c>
      <x:c r="E70" s="67" t="n">
        <x:v>44</x:v>
      </x:c>
      <x:c r="F70" s="67" t="n">
        <x:v>45</x:v>
      </x:c>
      <x:c r="G70" s="67" t="n">
        <x:v>46</x:v>
      </x:c>
      <x:c r="H70" s="67" t="n">
        <x:v>47</x:v>
      </x:c>
      <x:c r="I70" s="2" t="inlineStr">
        <x:is>
          <x:t xml:space="preserve">FTE</x:t>
        </x:is>
      </x:c>
      <x:c r="J70" s="2" t="inlineStr">
        <x:is>
          <x:t xml:space="preserve">https://www.linkedin.com/company/san-diego-gulls</x:t>
        </x:is>
      </x:c>
      <x:c r="K70" s="2" t="inlineStr">
        <x:is>
          <x:t xml:space="preserve">Estimate</x:t>
        </x:is>
      </x:c>
    </x:row>
    <x:row r="71">
      <x:c r="A71" s="15" t="inlineStr">
        <x:is>
          <x:t xml:space="preserve">HUMAN CAPITAL</x:t>
        </x:is>
      </x:c>
      <x:c r="B71" s="16" t="inlineStr">
        <x:is>
          <x:t xml:space="preserve">Medical / training tech spend</x:t>
        </x:is>
      </x:c>
      <x:c r="C71" s="73" t="n">
        <x:v>100000</x:v>
      </x:c>
      <x:c r="D71" s="73" t="n">
        <x:v>110000</x:v>
      </x:c>
      <x:c r="E71" s="73" t="n">
        <x:v>130000</x:v>
      </x:c>
      <x:c r="F71" s="73" t="n">
        <x:v>150000</x:v>
      </x:c>
      <x:c r="G71" s="73" t="n">
        <x:v>175000</x:v>
      </x:c>
      <x:c r="H71" s="73" t="n">
        <x:v>185000</x:v>
      </x:c>
      <x:c r="I71" s="2" t="inlineStr">
        <x:is>
          <x:t xml:space="preserve">$</x:t>
        </x:is>
      </x:c>
      <x:c r="J71" s="2" t="inlineStr">
        <x:is>
          <x:t xml:space="preserve">Model methodology</x:t>
        </x:is>
      </x:c>
      <x:c r="K71" s="2" t="inlineStr">
        <x:is>
          <x:t xml:space="preserve">Estimate</x:t>
        </x:is>
      </x:c>
    </x:row>
    <x:row r="72">
      <x:c r="A72" s="15" t="inlineStr">
        <x:is>
          <x:t xml:space="preserve">HUMAN CAPITAL</x:t>
        </x:is>
      </x:c>
      <x:c r="B72" s="16" t="inlineStr">
        <x:is>
          <x:t xml:space="preserve">Travel logistics ratio (air-heavy)</x:t>
        </x:is>
      </x:c>
      <x:c r="C72" s="64" t="n">
        <x:v>0.82</x:v>
      </x:c>
      <x:c r="D72" s="64" t="n">
        <x:v>0.82</x:v>
      </x:c>
      <x:c r="E72" s="64" t="n">
        <x:v>0.83</x:v>
      </x:c>
      <x:c r="F72" s="64" t="n">
        <x:v>0.84</x:v>
      </x:c>
      <x:c r="G72" s="64" t="n">
        <x:v>0.84</x:v>
      </x:c>
      <x:c r="H72" s="64" t="n">
        <x:v>0.84</x:v>
      </x:c>
      <x:c r="I72" s="2" t="inlineStr">
        <x:is>
          <x:t xml:space="preserve">pct</x:t>
        </x:is>
      </x:c>
      <x:c r="J72" s="2" t="inlineStr">
        <x:is>
          <x:t xml:space="preserve">Model methodology</x:t>
        </x:is>
      </x:c>
      <x:c r="K72" s="2" t="inlineStr">
        <x:is>
          <x:t xml:space="preserve">Estimate</x:t>
        </x:is>
      </x:c>
    </x:row>
    <x:row r="73">
      <x:c r="A73" s="15" t="inlineStr">
        <x:is>
          <x:t xml:space="preserve">HUMAN CAPITAL</x:t>
        </x:is>
      </x:c>
      <x:c r="B73" s="16" t="inlineStr">
        <x:is>
          <x:t xml:space="preserve">Player housing spend</x:t>
        </x:is>
      </x:c>
      <x:c r="C73" s="73" t="n">
        <x:v>200000</x:v>
      </x:c>
      <x:c r="D73" s="73" t="n">
        <x:v>210000</x:v>
      </x:c>
      <x:c r="E73" s="73" t="n">
        <x:v>230000</x:v>
      </x:c>
      <x:c r="F73" s="73" t="n">
        <x:v>250000</x:v>
      </x:c>
      <x:c r="G73" s="73" t="n">
        <x:v>280000</x:v>
      </x:c>
      <x:c r="H73" s="73" t="n">
        <x:v>290000</x:v>
      </x:c>
      <x:c r="I73" s="2" t="inlineStr">
        <x:is>
          <x:t xml:space="preserve">$</x:t>
        </x:is>
      </x:c>
      <x:c r="J73" s="2" t="inlineStr">
        <x:is>
          <x:t xml:space="preserve">Model methodology</x:t>
        </x:is>
      </x:c>
      <x:c r="K73" s="2" t="inlineStr">
        <x:is>
          <x:t xml:space="preserve">Estimate</x:t>
        </x:is>
      </x:c>
    </x:row>
    <x:row r="74">
      <x:c r="A74" s="15" t="inlineStr">
        <x:is>
          <x:t xml:space="preserve">HUMAN CAPITAL</x:t>
        </x:is>
      </x:c>
      <x:c r="B74" s="16" t="inlineStr">
        <x:is>
          <x:t xml:space="preserve">AHL-only salary floor</x:t>
        </x:is>
      </x:c>
      <x:c r="C74" s="73" t="n">
        <x:v>49000</x:v>
      </x:c>
      <x:c r="D74" s="73" t="n">
        <x:v>50000</x:v>
      </x:c>
      <x:c r="E74" s="73" t="n">
        <x:v>51500</x:v>
      </x:c>
      <x:c r="F74" s="73" t="n">
        <x:v>52725</x:v>
      </x:c>
      <x:c r="G74" s="73" t="n">
        <x:v>54000</x:v>
      </x:c>
      <x:c r="H74" s="73" t="n">
        <x:v>55620</x:v>
      </x:c>
      <x:c r="I74" s="2" t="inlineStr">
        <x:is>
          <x:t xml:space="preserve">$</x:t>
        </x:is>
      </x:c>
      <x:c r="J74" s="2" t="inlineStr">
        <x:is>
          <x:t xml:space="preserve">https://phpa.com/site/agreements</x:t>
        </x:is>
      </x:c>
      <x:c r="K74" s="2" t="inlineStr">
        <x:is>
          <x:t xml:space="preserve">Estimate/Projection</x:t>
        </x:is>
      </x:c>
    </x:row>
    <x:row r="75">
      <x:c r="A75" s="15" t="inlineStr">
        <x:is>
          <x:t xml:space="preserve">HUMAN CAPITAL</x:t>
        </x:is>
      </x:c>
      <x:c r="B75" s="16" t="inlineStr">
        <x:is>
          <x:t xml:space="preserve">AHL-only average salary</x:t>
        </x:is>
      </x:c>
      <x:c r="C75" s="73" t="n">
        <x:v>65000</x:v>
      </x:c>
      <x:c r="D75" s="73" t="n">
        <x:v>66000</x:v>
      </x:c>
      <x:c r="E75" s="73" t="n">
        <x:v>70000</x:v>
      </x:c>
      <x:c r="F75" s="73" t="n">
        <x:v>74000</x:v>
      </x:c>
      <x:c r="G75" s="73" t="n">
        <x:v>78000</x:v>
      </x:c>
      <x:c r="H75" s="73" t="n">
        <x:v>80000</x:v>
      </x:c>
      <x:c r="I75" s="2" t="inlineStr">
        <x:is>
          <x:t xml:space="preserve">$</x:t>
        </x:is>
      </x:c>
      <x:c r="J75" s="2" t="inlineStr">
        <x:is>
          <x:t xml:space="preserve">Model methodology</x:t>
        </x:is>
      </x:c>
      <x:c r="K75" s="2" t="inlineStr">
        <x:is>
          <x:t xml:space="preserve">Estimate</x:t>
        </x:is>
      </x:c>
    </x:row>
    <x:row r="76">
      <x:c r="A76" s="15" t="inlineStr">
        <x:is>
          <x:t xml:space="preserve">HUMAN CAPITAL</x:t>
        </x:is>
      </x:c>
      <x:c r="B76" s="16" t="inlineStr">
        <x:is>
          <x:t xml:space="preserve">Insurance premiums</x:t>
        </x:is>
      </x:c>
      <x:c r="C76" s="73" t="n">
        <x:v>200000</x:v>
      </x:c>
      <x:c r="D76" s="73" t="n">
        <x:v>210000</x:v>
      </x:c>
      <x:c r="E76" s="73" t="n">
        <x:v>230000</x:v>
      </x:c>
      <x:c r="F76" s="73" t="n">
        <x:v>250000</x:v>
      </x:c>
      <x:c r="G76" s="73" t="n">
        <x:v>270000</x:v>
      </x:c>
      <x:c r="H76" s="73" t="n">
        <x:v>280000</x:v>
      </x:c>
      <x:c r="I76" s="2" t="inlineStr">
        <x:is>
          <x:t xml:space="preserve">$</x:t>
        </x:is>
      </x:c>
      <x:c r="J76" s="2" t="inlineStr">
        <x:is>
          <x:t xml:space="preserve">Model methodology</x:t>
        </x:is>
      </x:c>
      <x:c r="K76" s="2" t="inlineStr">
        <x:is>
          <x:t xml:space="preserve">Estimate</x:t>
        </x:is>
      </x:c>
    </x:row>
    <x:row r="77">
      <x:c r="A77" s="15" t="inlineStr">
        <x:is>
          <x:t xml:space="preserve">HUMAN CAPITAL</x:t>
        </x:is>
      </x:c>
      <x:c r="B77" s="16" t="inlineStr">
        <x:is>
          <x:t xml:space="preserve">Equipment lifecycle cost</x:t>
        </x:is>
      </x:c>
      <x:c r="C77" s="73" t="n">
        <x:v>150000</x:v>
      </x:c>
      <x:c r="D77" s="73" t="n">
        <x:v>155000</x:v>
      </x:c>
      <x:c r="E77" s="73" t="n">
        <x:v>165000</x:v>
      </x:c>
      <x:c r="F77" s="73" t="n">
        <x:v>175000</x:v>
      </x:c>
      <x:c r="G77" s="73" t="n">
        <x:v>190000</x:v>
      </x:c>
      <x:c r="H77" s="73" t="n">
        <x:v>195000</x:v>
      </x:c>
      <x:c r="I77" s="2" t="inlineStr">
        <x:is>
          <x:t xml:space="preserve">$</x:t>
        </x:is>
      </x:c>
      <x:c r="J77" s="2" t="inlineStr">
        <x:is>
          <x:t xml:space="preserve">Model methodology</x:t>
        </x:is>
      </x:c>
      <x:c r="K77" s="2" t="inlineStr">
        <x:is>
          <x:t xml:space="preserve">Estimate</x:t>
        </x:is>
      </x:c>
    </x:row>
    <x:row r="78">
      <x:c r="A78" s="15" t="inlineStr">
        <x:is>
          <x:t xml:space="preserve">HUMAN CAPITAL</x:t>
        </x:is>
      </x:c>
      <x:c r="B78" s="16" t="inlineStr">
        <x:is>
          <x:t xml:space="preserve">Ducks prospects in San Diego</x:t>
        </x:is>
      </x:c>
      <x:c r="C78" s="67" t="n">
        <x:v>8</x:v>
      </x:c>
      <x:c r="D78" s="67" t="n">
        <x:v>8</x:v>
      </x:c>
      <x:c r="E78" s="67" t="n">
        <x:v>9</x:v>
      </x:c>
      <x:c r="F78" s="67" t="n">
        <x:v>9</x:v>
      </x:c>
      <x:c r="G78" s="67" t="n">
        <x:v>15</x:v>
      </x:c>
      <x:c r="H78" s="67" t="n">
        <x:v>15</x:v>
      </x:c>
      <x:c r="I78" s="2" t="inlineStr">
        <x:is>
          <x:t xml:space="preserve">players</x:t>
        </x:is>
      </x:c>
      <x:c r="J78" s="2" t="inlineStr">
        <x:is>
          <x:t xml:space="preserve">Multiple official roster/game notes sources</x:t>
        </x:is>
      </x:c>
      <x:c r="K78" s="2" t="inlineStr">
        <x:is>
          <x:t xml:space="preserve">Estimate</x:t>
        </x:is>
      </x:c>
    </x:row>
    <x:row r="79">
      <x:c r="A79" s="10" t="inlineStr">
        <x:is>
          <x:t xml:space="preserve">OTHER</x:t>
        </x:is>
      </x:c>
      <x:c r="B79" s="11" t="inlineStr">
        <x:is>
          <x:t xml:space="preserve">NHL parent subsidy</x:t>
        </x:is>
      </x:c>
      <x:c r="C79" s="74" t="n">
        <x:v>4200000</x:v>
      </x:c>
      <x:c r="D79" s="74" t="n">
        <x:v>4300000</x:v>
      </x:c>
      <x:c r="E79" s="74" t="n">
        <x:v>4400000</x:v>
      </x:c>
      <x:c r="F79" s="74" t="n">
        <x:v>4500000</x:v>
      </x:c>
      <x:c r="G79" s="74" t="n">
        <x:v>4700000</x:v>
      </x:c>
      <x:c r="H79" s="74" t="n">
        <x:v>4900000</x:v>
      </x:c>
      <x:c r="I79" s="14" t="inlineStr">
        <x:is>
          <x:t xml:space="preserve">$</x:t>
        </x:is>
      </x:c>
      <x:c r="J79" s="14" t="inlineStr">
        <x:is>
          <x:t xml:space="preserve">Model methodology</x:t>
        </x:is>
      </x:c>
      <x:c r="K79" s="14" t="inlineStr">
        <x:is>
          <x:t xml:space="preserve">Estimate</x:t>
        </x:is>
      </x:c>
    </x:row>
    <x:row r="80">
      <x:c r="A80" s="15" t="inlineStr">
        <x:is>
          <x:t xml:space="preserve">OTHER</x:t>
        </x:is>
      </x:c>
      <x:c r="B80" s="16" t="inlineStr">
        <x:is>
          <x:t xml:space="preserve">Youth hockey / camp revenue</x:t>
        </x:is>
      </x:c>
      <x:c r="C80" s="73" t="n">
        <x:v>80000</x:v>
      </x:c>
      <x:c r="D80" s="73" t="n">
        <x:v>90000</x:v>
      </x:c>
      <x:c r="E80" s="73" t="n">
        <x:v>100000</x:v>
      </x:c>
      <x:c r="F80" s="73" t="n">
        <x:v>120000</x:v>
      </x:c>
      <x:c r="G80" s="73" t="n">
        <x:v>140000</x:v>
      </x:c>
      <x:c r="H80" s="73" t="n">
        <x:v>160000</x:v>
      </x:c>
      <x:c r="I80" s="2" t="inlineStr">
        <x:is>
          <x:t xml:space="preserve">$</x:t>
        </x:is>
      </x:c>
      <x:c r="J80" s="2" t="inlineStr">
        <x:is>
          <x:t xml:space="preserve">Model methodology</x:t>
        </x:is>
      </x:c>
      <x:c r="K80" s="2" t="inlineStr">
        <x:is>
          <x:t xml:space="preserve">Estimate</x:t>
        </x:is>
      </x:c>
    </x:row>
    <x:row r="81">
      <x:c r="A81" s="15" t="inlineStr">
        <x:is>
          <x:t xml:space="preserve">OTHER</x:t>
        </x:is>
      </x:c>
      <x:c r="B81" s="16" t="inlineStr">
        <x:is>
          <x:t xml:space="preserve">Foundation asset base</x:t>
        </x:is>
      </x:c>
      <x:c r="C81" s="73" t="n">
        <x:v>200000</x:v>
      </x:c>
      <x:c r="D81" s="73" t="n">
        <x:v>220000</x:v>
      </x:c>
      <x:c r="E81" s="73" t="n">
        <x:v>240000</x:v>
      </x:c>
      <x:c r="F81" s="73" t="n">
        <x:v>260000</x:v>
      </x:c>
      <x:c r="G81" s="73" t="n">
        <x:v>280000</x:v>
      </x:c>
      <x:c r="H81" s="73" t="n">
        <x:v>300000</x:v>
      </x:c>
      <x:c r="I81" s="2" t="inlineStr">
        <x:is>
          <x:t xml:space="preserve">$</x:t>
        </x:is>
      </x:c>
      <x:c r="J81" s="2" t="inlineStr">
        <x:is>
          <x:t xml:space="preserve">https://www.sandiegogulls.com/community/foundation</x:t>
        </x:is>
      </x:c>
      <x:c r="K81" s="2" t="inlineStr">
        <x:is>
          <x:t xml:space="preserve">Estimate</x:t>
        </x:is>
      </x:c>
    </x:row>
    <x:row r="82">
      <x:c r="A82" s="15" t="inlineStr">
        <x:is>
          <x:t xml:space="preserve">OTHER</x:t>
        </x:is>
      </x:c>
      <x:c r="B82" s="16" t="inlineStr">
        <x:is>
          <x:t xml:space="preserve">Affiliate synergy value</x:t>
        </x:is>
      </x:c>
      <x:c r="C82" s="73" t="n">
        <x:v>650000</x:v>
      </x:c>
      <x:c r="D82" s="73" t="n">
        <x:v>700000</x:v>
      </x:c>
      <x:c r="E82" s="73" t="n">
        <x:v>750000</x:v>
      </x:c>
      <x:c r="F82" s="73" t="n">
        <x:v>800000</x:v>
      </x:c>
      <x:c r="G82" s="73" t="n">
        <x:v>900000</x:v>
      </x:c>
      <x:c r="H82" s="73" t="n">
        <x:v>950000</x:v>
      </x:c>
      <x:c r="I82" s="2" t="inlineStr">
        <x:is>
          <x:t xml:space="preserve">$</x:t>
        </x:is>
      </x:c>
      <x:c r="J82" s="2" t="inlineStr">
        <x:is>
          <x:t xml:space="preserve">Model methodology</x:t>
        </x:is>
      </x:c>
      <x:c r="K82" s="2" t="inlineStr">
        <x:is>
          <x:t xml:space="preserve">Estimate</x:t>
        </x:is>
      </x:c>
    </x:row>
    <x:row r="83">
      <x:c r="A83" s="15" t="inlineStr">
        <x:is>
          <x:t xml:space="preserve">OTHER</x:t>
        </x:is>
      </x:c>
      <x:c r="B83" s="16" t="inlineStr">
        <x:is>
          <x:t xml:space="preserve">Trademark / brand asset value</x:t>
        </x:is>
      </x:c>
      <x:c r="C83" s="73" t="n">
        <x:v>300000</x:v>
      </x:c>
      <x:c r="D83" s="73" t="n">
        <x:v>325000</x:v>
      </x:c>
      <x:c r="E83" s="73" t="n">
        <x:v>350000</x:v>
      </x:c>
      <x:c r="F83" s="73" t="n">
        <x:v>375000</x:v>
      </x:c>
      <x:c r="G83" s="73" t="n">
        <x:v>425000</x:v>
      </x:c>
      <x:c r="H83" s="73" t="n">
        <x:v>450000</x:v>
      </x:c>
      <x:c r="I83" s="2" t="inlineStr">
        <x:is>
          <x:t xml:space="preserve">$</x:t>
        </x:is>
      </x:c>
      <x:c r="J83" s="2" t="inlineStr">
        <x:is>
          <x:t xml:space="preserve">Model methodology</x:t>
        </x:is>
      </x:c>
      <x:c r="K83" s="2" t="inlineStr">
        <x:is>
          <x:t xml:space="preserve">Estimate</x:t>
        </x:is>
      </x:c>
    </x:row>
    <x:row r="84">
      <x:c r="A84" s="10" t="inlineStr">
        <x:is>
          <x:t xml:space="preserve">VALUATION</x:t>
        </x:is>
      </x:c>
      <x:c r="B84" s="11" t="inlineStr">
        <x:is>
          <x:t xml:space="preserve">Revenue multiple</x:t>
        </x:is>
      </x:c>
      <x:c r="C84" s="33" t="n">
        <x:v>3.2</x:v>
      </x:c>
      <x:c r="D84" s="33" t="n">
        <x:v>3.2</x:v>
      </x:c>
      <x:c r="E84" s="33" t="n">
        <x:v>3.2</x:v>
      </x:c>
      <x:c r="F84" s="33" t="n">
        <x:v>3.2</x:v>
      </x:c>
      <x:c r="G84" s="33" t="n">
        <x:v>3.2</x:v>
      </x:c>
      <x:c r="H84" s="33" t="n">
        <x:v>3.2</x:v>
      </x:c>
      <x:c r="I84" s="14" t="inlineStr">
        <x:is>
          <x:t xml:space="preserve">x</x:t>
        </x:is>
      </x:c>
      <x:c r="J84" s="14" t="inlineStr">
        <x:is>
          <x:t xml:space="preserve">Model control</x:t>
        </x:is>
      </x:c>
      <x:c r="K84" s="14" t="inlineStr">
        <x:is>
          <x:t xml:space="preserve">Control</x:t>
        </x:is>
      </x:c>
    </x:row>
    <x:row r="85">
      <x:c r="A85" s="10" t="inlineStr">
        <x:is>
          <x:t xml:space="preserve">DIGITAL</x:t>
        </x:is>
      </x:c>
      <x:c r="B85" s="11" t="inlineStr">
        <x:is>
          <x:t xml:space="preserve">Email database value per active subscriber</x:t>
        </x:is>
      </x:c>
      <x:c r="C85" s="68" t="n">
        <x:v>5</x:v>
      </x:c>
      <x:c r="D85" s="68" t="n">
        <x:v>5</x:v>
      </x:c>
      <x:c r="E85" s="68" t="n">
        <x:v>5</x:v>
      </x:c>
      <x:c r="F85" s="68" t="n">
        <x:v>5</x:v>
      </x:c>
      <x:c r="G85" s="68" t="n">
        <x:v>5</x:v>
      </x:c>
      <x:c r="H85" s="68" t="n">
        <x:v>5</x:v>
      </x:c>
      <x:c r="I85" s="14" t="inlineStr">
        <x:is>
          <x:t xml:space="preserve">$/active sub</x:t>
        </x:is>
      </x:c>
      <x:c r="J85" s="14" t="inlineStr">
        <x:is>
          <x:t xml:space="preserve">Model control</x:t>
        </x:is>
      </x:c>
      <x:c r="K85" s="14" t="inlineStr">
        <x:is>
          <x:t xml:space="preserve">Control</x:t>
        </x:is>
      </x:c>
    </x:row>
  </x:sheetData>
  <x:mergeCells>
    <x:mergeCell ref="A2:K2"/>
    <x:mergeCell ref="A1:K1"/>
  </x:mergeCells>
  <x:pageMargins left="0.7" right="0.7" top="0.75" bottom="0.75" header="0.3" footer="0.3"/>
  <x:legacyDrawing xmlns:r="http://schemas.openxmlformats.org/officeDocument/2006/relationships" r:id="Rb9508eb92ce04b62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18" customWidth="1"/>
    <x:col min="3" max="3" width="34" customWidth="1"/>
    <x:col min="4" max="4" width="10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8" customWidth="1"/>
    <x:col min="12" max="12" width="11" customWidth="1"/>
    <x:col min="13" max="13" width="30" customWidth="1"/>
    <x:col min="14" max="14" width="40" customWidth="1"/>
  </x:cols>
  <x:sheetData>
    <x:row r="1">
      <x:c r="A1" s="1" t="inlineStr">
        <x:is>
          <x:t xml:space="preserve">San Diego Gulls — Forensic Financial, Operational &amp; Marketing Model (FY2021-22 to FY2026-27)</x:t>
        </x:is>
      </x:c>
    </x:row>
    <x:row r="2">
      <x:c r="A2" s="2" t="inlineStr">
        <x:is>
          <x:t xml:space="preserve">Public numbers are linked back to the Assumptions tab. Private figures are explicitly modeled estimates or logical ranges translated into a base-case value.</x:t>
        </x:is>
      </x:c>
    </x:row>
    <x:row r="4">
      <x:c r="A4" s="9" t="inlineStr">
        <x:is>
          <x:t xml:space="preserve">ID</x:t>
        </x:is>
      </x:c>
      <x:c r="B4" s="9" t="inlineStr">
        <x:is>
          <x:t xml:space="preserve">Group</x:t>
        </x:is>
      </x:c>
      <x:c r="C4" s="9" t="inlineStr">
        <x:is>
          <x:t xml:space="preserve">Field</x:t>
        </x:is>
      </x:c>
      <x:c r="D4" s="9" t="inlineStr">
        <x:is>
          <x:t xml:space="preserve">Unit</x:t>
        </x:is>
      </x:c>
      <x:c r="E4" s="9" t="inlineStr">
        <x:is>
          <x:t xml:space="preserve">2021-22</x:t>
        </x:is>
      </x:c>
      <x:c r="F4" s="9" t="inlineStr">
        <x:is>
          <x:t xml:space="preserve">2022-23</x:t>
        </x:is>
      </x:c>
      <x:c r="G4" s="9" t="inlineStr">
        <x:is>
          <x:t xml:space="preserve">2023-24</x:t>
        </x:is>
      </x:c>
      <x:c r="H4" s="9" t="inlineStr">
        <x:is>
          <x:t xml:space="preserve">2024-25</x:t>
        </x:is>
      </x:c>
      <x:c r="I4" s="9" t="inlineStr">
        <x:is>
          <x:t xml:space="preserve">2025-26</x:t>
        </x:is>
      </x:c>
      <x:c r="J4" s="9" t="inlineStr">
        <x:is>
          <x:t xml:space="preserve">2026-27</x:t>
        </x:is>
      </x:c>
      <x:c r="K4" s="9" t="inlineStr">
        <x:is>
          <x:t xml:space="preserve">Status</x:t>
        </x:is>
      </x:c>
      <x:c r="L4" s="9" t="inlineStr">
        <x:is>
          <x:t xml:space="preserve">Confidence</x:t>
        </x:is>
      </x:c>
      <x:c r="M4" s="9" t="inlineStr">
        <x:is>
          <x:t xml:space="preserve">Primary Source / Method</x:t>
        </x:is>
      </x:c>
      <x:c r="N4" s="9" t="inlineStr">
        <x:is>
          <x:t xml:space="preserve">Notes</x:t>
        </x:is>
      </x:c>
    </x:row>
    <x:row r="5">
      <x:c r="A5" s="34" t="inlineStr">
        <x:is>
          <x:t xml:space="preserve">1. Fan Demand, Schedule &amp; Ticketing</x:t>
        </x:is>
      </x:c>
    </x:row>
    <x:row r="6">
      <x:c r="A6" s="2" t="n">
        <x:v>1</x:v>
      </x:c>
      <x:c r="B6" s="16" t="inlineStr">
        <x:is>
          <x:t xml:space="preserve">Fan Demand / Ticketing</x:t>
        </x:is>
      </x:c>
      <x:c r="C6" s="16" t="inlineStr">
        <x:is>
          <x:t xml:space="preserve">Average attendance</x:t>
        </x:is>
      </x:c>
      <x:c r="D6" s="16" t="inlineStr">
        <x:is>
          <x:t xml:space="preserve">fans/game</x:t>
        </x:is>
      </x:c>
      <x:c r="E6" s="78">
        <x:f>Assumptions!C13</x:f>
        <x:v>6992</x:v>
      </x:c>
      <x:c r="F6" s="78">
        <x:f>Assumptions!D13</x:f>
        <x:v>6953</x:v>
      </x:c>
      <x:c r="G6" s="78">
        <x:f>Assumptions!E13</x:f>
        <x:v>7249</x:v>
      </x:c>
      <x:c r="H6" s="78">
        <x:f>Assumptions!F13</x:f>
        <x:v>7262</x:v>
      </x:c>
      <x:c r="I6" s="78">
        <x:f>Assumptions!G13</x:f>
        <x:v>7403</x:v>
      </x:c>
      <x:c r="J6" s="78">
        <x:f>Assumptions!H13</x:f>
        <x:v>7625</x:v>
      </x:c>
      <x:c r="K6" s="16" t="inlineStr">
        <x:is>
          <x:t xml:space="preserve">Public input / projection</x:t>
        </x:is>
      </x:c>
      <x:c r="L6" s="16" t="inlineStr">
        <x:is>
          <x:t xml:space="preserve">High</x:t>
        </x:is>
      </x:c>
      <x:c r="M6" s="16" t="inlineStr">
        <x:is>
          <x:t xml:space="preserve">HockeyDB / official schedule</x:t>
        </x:is>
      </x:c>
      <x:c r="N6" s="36" t="inlineStr">
        <x:is>
          <x:t xml:space="preserve">2026-27 baseline projected from 2025-26 using control.</x:t>
        </x:is>
      </x:c>
    </x:row>
    <x:row r="7">
      <x:c r="A7" s="2" t="n">
        <x:v>2</x:v>
      </x:c>
      <x:c r="B7" s="16" t="inlineStr">
        <x:is>
          <x:t xml:space="preserve">Fan Demand / Ticketing</x:t>
        </x:is>
      </x:c>
      <x:c r="C7" s="16" t="inlineStr">
        <x:is>
          <x:t xml:space="preserve">Home games</x:t>
        </x:is>
      </x:c>
      <x:c r="D7" s="16" t="inlineStr">
        <x:is>
          <x:t xml:space="preserve">games</x:t>
        </x:is>
      </x:c>
      <x:c r="E7" s="78">
        <x:f>Assumptions!C14</x:f>
        <x:v>34</x:v>
      </x:c>
      <x:c r="F7" s="78">
        <x:f>Assumptions!D14</x:f>
        <x:v>36</x:v>
      </x:c>
      <x:c r="G7" s="78">
        <x:f>Assumptions!E14</x:f>
        <x:v>36</x:v>
      </x:c>
      <x:c r="H7" s="78">
        <x:f>Assumptions!F14</x:f>
        <x:v>36</x:v>
      </x:c>
      <x:c r="I7" s="78">
        <x:f>Assumptions!G14</x:f>
        <x:v>36</x:v>
      </x:c>
      <x:c r="J7" s="78">
        <x:f>Assumptions!H14</x:f>
        <x:v>36</x:v>
      </x:c>
      <x:c r="K7" s="16" t="inlineStr">
        <x:is>
          <x:t xml:space="preserve">Public input</x:t>
        </x:is>
      </x:c>
      <x:c r="L7" s="16" t="inlineStr">
        <x:is>
          <x:t xml:space="preserve">High</x:t>
        </x:is>
      </x:c>
      <x:c r="M7" s="16" t="inlineStr">
        <x:is>
          <x:t xml:space="preserve">Official schedules</x:t>
        </x:is>
      </x:c>
      <x:c r="N7" s="36" t="inlineStr">
        <x:is>
          <x:t xml:space="preserve">2021-22 was 34 home games; subsequent seasons 36.</x:t>
        </x:is>
      </x:c>
    </x:row>
    <x:row r="8">
      <x:c r="A8" s="2" t="n">
        <x:v>3</x:v>
      </x:c>
      <x:c r="B8" s="16" t="inlineStr">
        <x:is>
          <x:t xml:space="preserve">Fan Demand / Ticketing</x:t>
        </x:is>
      </x:c>
      <x:c r="C8" s="16" t="inlineStr">
        <x:is>
          <x:t xml:space="preserve">Total home attendance</x:t>
        </x:is>
      </x:c>
      <x:c r="D8" s="16" t="inlineStr">
        <x:is>
          <x:t xml:space="preserve">fans</x:t>
        </x:is>
      </x:c>
      <x:c r="E8" s="75">
        <x:f>E6*E7</x:f>
        <x:v>237728</x:v>
      </x:c>
      <x:c r="F8" s="75">
        <x:f>F6*F7</x:f>
        <x:v>250308</x:v>
      </x:c>
      <x:c r="G8" s="75">
        <x:f>G6*G7</x:f>
        <x:v>260964</x:v>
      </x:c>
      <x:c r="H8" s="75">
        <x:f>H6*H7</x:f>
        <x:v>261432</x:v>
      </x:c>
      <x:c r="I8" s="75">
        <x:f>I6*I7</x:f>
        <x:v>266508</x:v>
      </x:c>
      <x:c r="J8" s="75">
        <x:f>J6*J7</x:f>
        <x:v>274500</x:v>
      </x:c>
      <x:c r="K8" s="16" t="inlineStr">
        <x:is>
          <x:t xml:space="preserve">Derived</x:t>
        </x:is>
      </x:c>
      <x:c r="L8" s="16" t="inlineStr">
        <x:is>
          <x:t xml:space="preserve">High</x:t>
        </x:is>
      </x:c>
      <x:c r="M8" s="16" t="inlineStr">
        <x:is>
          <x:t xml:space="preserve">Attendance × home games</x:t>
        </x:is>
      </x:c>
      <x:c r="N8" s="36" t="inlineStr">
        <x:is>
          <x:t xml:space="preserve">Average attendance multiplied by home games.</x:t>
        </x:is>
      </x:c>
    </x:row>
    <x:row r="9">
      <x:c r="A9" s="2" t="n">
        <x:v>4</x:v>
      </x:c>
      <x:c r="B9" s="16" t="inlineStr">
        <x:is>
          <x:t xml:space="preserve">Fan Demand / Ticketing</x:t>
        </x:is>
      </x:c>
      <x:c r="C9" s="16" t="inlineStr">
        <x:is>
          <x:t xml:space="preserve">Home weekend dates</x:t>
        </x:is>
      </x:c>
      <x:c r="D9" s="16" t="inlineStr">
        <x:is>
          <x:t xml:space="preserve">dates</x:t>
        </x:is>
      </x:c>
      <x:c r="E9" s="78">
        <x:f>Assumptions!C17</x:f>
        <x:v>23</x:v>
      </x:c>
      <x:c r="F9" s="78">
        <x:f>Assumptions!D17</x:f>
        <x:v>23</x:v>
      </x:c>
      <x:c r="G9" s="78">
        <x:f>Assumptions!E17</x:f>
        <x:v>26</x:v>
      </x:c>
      <x:c r="H9" s="78">
        <x:f>Assumptions!F17</x:f>
        <x:v>25</x:v>
      </x:c>
      <x:c r="I9" s="78">
        <x:f>Assumptions!G17</x:f>
        <x:v>25</x:v>
      </x:c>
      <x:c r="J9" s="78">
        <x:f>Assumptions!H17</x:f>
        <x:v>25</x:v>
      </x:c>
      <x:c r="K9" s="16" t="inlineStr">
        <x:is>
          <x:t xml:space="preserve">Public input</x:t>
        </x:is>
      </x:c>
      <x:c r="L9" s="16" t="inlineStr">
        <x:is>
          <x:t xml:space="preserve">High</x:t>
        </x:is>
      </x:c>
      <x:c r="M9" s="16" t="inlineStr">
        <x:is>
          <x:t xml:space="preserve">Official schedules</x:t>
        </x:is>
      </x:c>
      <x:c r="N9" s="36" t="inlineStr">
        <x:is>
          <x:t xml:space="preserve">Official yearly schedule releases.</x:t>
        </x:is>
      </x:c>
    </x:row>
    <x:row r="10">
      <x:c r="A10" s="2" t="n">
        <x:v>5</x:v>
      </x:c>
      <x:c r="B10" s="16" t="inlineStr">
        <x:is>
          <x:t xml:space="preserve">Fan Demand / Ticketing</x:t>
        </x:is>
      </x:c>
      <x:c r="C10" s="16" t="inlineStr">
        <x:is>
          <x:t xml:space="preserve">Friday home games</x:t>
        </x:is>
      </x:c>
      <x:c r="D10" s="16" t="inlineStr">
        <x:is>
          <x:t xml:space="preserve">games</x:t>
        </x:is>
      </x:c>
      <x:c r="E10" s="78">
        <x:f>Assumptions!C18</x:f>
        <x:v>11</x:v>
      </x:c>
      <x:c r="F10" s="78">
        <x:f>Assumptions!D18</x:f>
        <x:v>12</x:v>
      </x:c>
      <x:c r="G10" s="78">
        <x:f>Assumptions!E18</x:f>
        <x:v>12</x:v>
      </x:c>
      <x:c r="H10" s="78">
        <x:f>Assumptions!F18</x:f>
        <x:v>9</x:v>
      </x:c>
      <x:c r="I10" s="78">
        <x:f>Assumptions!G18</x:f>
        <x:v>10</x:v>
      </x:c>
      <x:c r="J10" s="78">
        <x:f>Assumptions!H18</x:f>
        <x:v>10</x:v>
      </x:c>
      <x:c r="K10" s="16" t="inlineStr">
        <x:is>
          <x:t xml:space="preserve">Public input</x:t>
        </x:is>
      </x:c>
      <x:c r="L10" s="16" t="inlineStr">
        <x:is>
          <x:t xml:space="preserve">High</x:t>
        </x:is>
      </x:c>
      <x:c r="M10" s="16" t="inlineStr">
        <x:is>
          <x:t xml:space="preserve">Official schedules</x:t>
        </x:is>
      </x:c>
      <x:c r="N10" s="36" t="inlineStr">
        <x:is>
          <x:t xml:space="preserve">Official yearly schedule releases.</x:t>
        </x:is>
      </x:c>
    </x:row>
    <x:row r="11">
      <x:c r="A11" s="2" t="n">
        <x:v>6</x:v>
      </x:c>
      <x:c r="B11" s="16" t="inlineStr">
        <x:is>
          <x:t xml:space="preserve">Fan Demand / Ticketing</x:t>
        </x:is>
      </x:c>
      <x:c r="C11" s="16" t="inlineStr">
        <x:is>
          <x:t xml:space="preserve">Saturday home games</x:t>
        </x:is>
      </x:c>
      <x:c r="D11" s="16" t="inlineStr">
        <x:is>
          <x:t xml:space="preserve">games</x:t>
        </x:is>
      </x:c>
      <x:c r="E11" s="78">
        <x:f>Assumptions!C19</x:f>
        <x:v>11</x:v>
      </x:c>
      <x:c r="F11" s="78">
        <x:f>Assumptions!D19</x:f>
        <x:v>11</x:v>
      </x:c>
      <x:c r="G11" s="78">
        <x:f>Assumptions!E19</x:f>
        <x:v>12</x:v>
      </x:c>
      <x:c r="H11" s="78">
        <x:f>Assumptions!F19</x:f>
        <x:v>14</x:v>
      </x:c>
      <x:c r="I11" s="78">
        <x:f>Assumptions!G19</x:f>
        <x:v>10</x:v>
      </x:c>
      <x:c r="J11" s="78">
        <x:f>Assumptions!H19</x:f>
        <x:v>11</x:v>
      </x:c>
      <x:c r="K11" s="16" t="inlineStr">
        <x:is>
          <x:t xml:space="preserve">Public input / projection</x:t>
        </x:is>
      </x:c>
      <x:c r="L11" s="16" t="inlineStr">
        <x:is>
          <x:t xml:space="preserve">High</x:t>
        </x:is>
      </x:c>
      <x:c r="M11" s="16" t="inlineStr">
        <x:is>
          <x:t xml:space="preserve">Official schedules</x:t>
        </x:is>
      </x:c>
      <x:c r="N11" s="36" t="inlineStr">
        <x:is>
          <x:t xml:space="preserve">2026-27 baseline projected mix.</x:t>
        </x:is>
      </x:c>
    </x:row>
    <x:row r="12">
      <x:c r="A12" s="2" t="n">
        <x:v>7</x:v>
      </x:c>
      <x:c r="B12" s="16" t="inlineStr">
        <x:is>
          <x:t xml:space="preserve">Fan Demand / Ticketing</x:t>
        </x:is>
      </x:c>
      <x:c r="C12" s="16" t="inlineStr">
        <x:is>
          <x:t xml:space="preserve">Sunday home games</x:t>
        </x:is>
      </x:c>
      <x:c r="D12" s="16" t="inlineStr">
        <x:is>
          <x:t xml:space="preserve">games</x:t>
        </x:is>
      </x:c>
      <x:c r="E12" s="78">
        <x:f>Assumptions!C20</x:f>
        <x:v>1</x:v>
      </x:c>
      <x:c r="F12" s="78">
        <x:f>Assumptions!D20</x:f>
        <x:v>1</x:v>
      </x:c>
      <x:c r="G12" s="78">
        <x:f>Assumptions!E20</x:f>
        <x:v>2</x:v>
      </x:c>
      <x:c r="H12" s="78">
        <x:f>Assumptions!F20</x:f>
        <x:v>2</x:v>
      </x:c>
      <x:c r="I12" s="78">
        <x:f>Assumptions!G20</x:f>
        <x:v>5</x:v>
      </x:c>
      <x:c r="J12" s="78">
        <x:f>Assumptions!H20</x:f>
        <x:v>4</x:v>
      </x:c>
      <x:c r="K12" s="16" t="inlineStr">
        <x:is>
          <x:t xml:space="preserve">Public input / projection</x:t>
        </x:is>
      </x:c>
      <x:c r="L12" s="16" t="inlineStr">
        <x:is>
          <x:t xml:space="preserve">High</x:t>
        </x:is>
      </x:c>
      <x:c r="M12" s="16" t="inlineStr">
        <x:is>
          <x:t xml:space="preserve">Official schedules</x:t>
        </x:is>
      </x:c>
      <x:c r="N12" s="36" t="inlineStr">
        <x:is>
          <x:t xml:space="preserve">2026-27 baseline projected mix.</x:t>
        </x:is>
      </x:c>
    </x:row>
    <x:row r="13">
      <x:c r="A13" s="2" t="n">
        <x:v>8</x:v>
      </x:c>
      <x:c r="B13" s="16" t="inlineStr">
        <x:is>
          <x:t xml:space="preserve">Fan Demand / Ticketing</x:t>
        </x:is>
      </x:c>
      <x:c r="C13" s="16" t="inlineStr">
        <x:is>
          <x:t xml:space="preserve">Back-to-back sets</x:t>
        </x:is>
      </x:c>
      <x:c r="D13" s="16" t="inlineStr">
        <x:is>
          <x:t xml:space="preserve">sets</x:t>
        </x:is>
      </x:c>
      <x:c r="E13" s="78">
        <x:f>Assumptions!C21</x:f>
        <x:v>24</x:v>
      </x:c>
      <x:c r="F13" s="78">
        <x:f>Assumptions!D21</x:f>
        <x:v>21</x:v>
      </x:c>
      <x:c r="G13" s="78">
        <x:f>Assumptions!E21</x:f>
        <x:v>18</x:v>
      </x:c>
      <x:c r="H13" s="78">
        <x:f>Assumptions!F21</x:f>
        <x:v>20</x:v>
      </x:c>
      <x:c r="I13" s="78">
        <x:f>Assumptions!G21</x:f>
        <x:v>22</x:v>
      </x:c>
      <x:c r="J13" s="78">
        <x:f>Assumptions!H21</x:f>
        <x:v>22</x:v>
      </x:c>
      <x:c r="K13" s="16" t="inlineStr">
        <x:is>
          <x:t xml:space="preserve">Public input</x:t>
        </x:is>
      </x:c>
      <x:c r="L13" s="16" t="inlineStr">
        <x:is>
          <x:t xml:space="preserve">High</x:t>
        </x:is>
      </x:c>
      <x:c r="M13" s="16" t="inlineStr">
        <x:is>
          <x:t xml:space="preserve">Official schedules</x:t>
        </x:is>
      </x:c>
      <x:c r="N13" s="36" t="inlineStr">
        <x:is>
          <x:t xml:space="preserve">Official yearly schedule releases.</x:t>
        </x:is>
      </x:c>
    </x:row>
    <x:row r="14">
      <x:c r="A14" s="2" t="n">
        <x:v>9</x:v>
      </x:c>
      <x:c r="B14" s="16" t="inlineStr">
        <x:is>
          <x:t xml:space="preserve">Fan Demand / Ticketing</x:t>
        </x:is>
      </x:c>
      <x:c r="C14" s="16" t="inlineStr">
        <x:is>
          <x:t xml:space="preserve">Promotional / theme nights</x:t>
        </x:is>
      </x:c>
      <x:c r="D14" s="16" t="inlineStr">
        <x:is>
          <x:t xml:space="preserve">nights</x:t>
        </x:is>
      </x:c>
      <x:c r="E14" s="78">
        <x:f>Assumptions!C22</x:f>
        <x:v>13</x:v>
      </x:c>
      <x:c r="F14" s="78">
        <x:f>Assumptions!D22</x:f>
        <x:v>15</x:v>
      </x:c>
      <x:c r="G14" s="78">
        <x:f>Assumptions!E22</x:f>
        <x:v>16</x:v>
      </x:c>
      <x:c r="H14" s="78">
        <x:f>Assumptions!F22</x:f>
        <x:v>23</x:v>
      </x:c>
      <x:c r="I14" s="78">
        <x:f>Assumptions!G22</x:f>
        <x:v>28</x:v>
      </x:c>
      <x:c r="J14" s="78">
        <x:f>Assumptions!H22</x:f>
        <x:v>30</x:v>
      </x:c>
      <x:c r="K14" s="16" t="inlineStr">
        <x:is>
          <x:t xml:space="preserve">Public input / projection</x:t>
        </x:is>
      </x:c>
      <x:c r="L14" s="16" t="inlineStr">
        <x:is>
          <x:t xml:space="preserve">High</x:t>
        </x:is>
      </x:c>
      <x:c r="M14" s="16" t="inlineStr">
        <x:is>
          <x:t xml:space="preserve">Official promo releases</x:t>
        </x:is>
      </x:c>
      <x:c r="N14" s="36" t="inlineStr">
        <x:is>
          <x:t xml:space="preserve">2025-26 includes 8 anniversary nights + 20 additional promotional nights.</x:t>
        </x:is>
      </x:c>
    </x:row>
    <x:row r="15">
      <x:c r="A15" s="2" t="n">
        <x:v>10</x:v>
      </x:c>
      <x:c r="B15" s="16" t="inlineStr">
        <x:is>
          <x:t xml:space="preserve">Fan Demand / Ticketing</x:t>
        </x:is>
      </x:c>
      <x:c r="C15" s="16" t="inlineStr">
        <x:is>
          <x:t xml:space="preserve">Giveaway items</x:t>
        </x:is>
      </x:c>
      <x:c r="D15" s="16" t="inlineStr">
        <x:is>
          <x:t xml:space="preserve">items</x:t>
        </x:is>
      </x:c>
      <x:c r="E15" s="78">
        <x:f>Assumptions!C23</x:f>
        <x:v>7</x:v>
      </x:c>
      <x:c r="F15" s="78">
        <x:f>Assumptions!D23</x:f>
        <x:v>6</x:v>
      </x:c>
      <x:c r="G15" s="78">
        <x:f>Assumptions!E23</x:f>
        <x:v>10</x:v>
      </x:c>
      <x:c r="H15" s="78">
        <x:f>Assumptions!F23</x:f>
        <x:v>11</x:v>
      </x:c>
      <x:c r="I15" s="78">
        <x:f>Assumptions!G23</x:f>
        <x:v>5</x:v>
      </x:c>
      <x:c r="J15" s="78">
        <x:f>Assumptions!H23</x:f>
        <x:v>6</x:v>
      </x:c>
      <x:c r="K15" s="16" t="inlineStr">
        <x:is>
          <x:t xml:space="preserve">Public input / projection</x:t>
        </x:is>
      </x:c>
      <x:c r="L15" s="16" t="inlineStr">
        <x:is>
          <x:t xml:space="preserve">Medium</x:t>
        </x:is>
      </x:c>
      <x:c r="M15" s="16" t="inlineStr">
        <x:is>
          <x:t xml:space="preserve">Official promo releases</x:t>
        </x:is>
      </x:c>
      <x:c r="N15" s="36" t="inlineStr">
        <x:is>
          <x:t xml:space="preserve">2025-26 current public list includes five announced giveaways.</x:t>
        </x:is>
      </x:c>
    </x:row>
    <x:row r="16">
      <x:c r="A16" s="2" t="n">
        <x:v>11</x:v>
      </x:c>
      <x:c r="B16" s="16" t="inlineStr">
        <x:is>
          <x:t xml:space="preserve">Fan Demand / Ticketing</x:t>
        </x:is>
      </x:c>
      <x:c r="C16" s="16" t="inlineStr">
        <x:is>
          <x:t xml:space="preserve">Pregame tailgates</x:t>
        </x:is>
      </x:c>
      <x:c r="D16" s="16" t="inlineStr">
        <x:is>
          <x:t xml:space="preserve">events</x:t>
        </x:is>
      </x:c>
      <x:c r="E16" s="78">
        <x:f>Assumptions!C24</x:f>
        <x:v>6</x:v>
      </x:c>
      <x:c r="F16" s="78">
        <x:f>Assumptions!D24</x:f>
        <x:v>6</x:v>
      </x:c>
      <x:c r="G16" s="78">
        <x:f>Assumptions!E24</x:f>
        <x:v>7</x:v>
      </x:c>
      <x:c r="H16" s="78">
        <x:f>Assumptions!F24</x:f>
        <x:v>7</x:v>
      </x:c>
      <x:c r="I16" s="78">
        <x:f>Assumptions!G24</x:f>
        <x:v>7</x:v>
      </x:c>
      <x:c r="J16" s="78">
        <x:f>Assumptions!H24</x:f>
        <x:v>8</x:v>
      </x:c>
      <x:c r="K16" s="16" t="inlineStr">
        <x:is>
          <x:t xml:space="preserve">Public input / projection</x:t>
        </x:is>
      </x:c>
      <x:c r="L16" s="16" t="inlineStr">
        <x:is>
          <x:t xml:space="preserve">Medium</x:t>
        </x:is>
      </x:c>
      <x:c r="M16" s="16" t="inlineStr">
        <x:is>
          <x:t xml:space="preserve">Official promo releases</x:t>
        </x:is>
      </x:c>
      <x:c r="N16" s="36" t="inlineStr">
        <x:is>
          <x:t xml:space="preserve">Counted / projected from public promo schedules.</x:t>
        </x:is>
      </x:c>
    </x:row>
    <x:row r="17">
      <x:c r="A17" s="2" t="n">
        <x:v>12</x:v>
      </x:c>
      <x:c r="B17" s="16" t="inlineStr">
        <x:is>
          <x:t xml:space="preserve">Fan Demand / Ticketing</x:t>
        </x:is>
      </x:c>
      <x:c r="C17" s="16" t="inlineStr">
        <x:is>
          <x:t xml:space="preserve">STM entry price</x:t>
        </x:is>
      </x:c>
      <x:c r="D17" s="16" t="inlineStr">
        <x:is>
          <x:t xml:space="preserve">$</x:t>
        </x:is>
      </x:c>
      <x:c r="E17" s="79">
        <x:f>Assumptions!C25</x:f>
        <x:v>476</x:v>
      </x:c>
      <x:c r="F17" s="79">
        <x:f>Assumptions!D25</x:f>
        <x:v>540</x:v>
      </x:c>
      <x:c r="G17" s="79">
        <x:f>Assumptions!E25</x:f>
        <x:v>540</x:v>
      </x:c>
      <x:c r="H17" s="79">
        <x:f>Assumptions!F25</x:f>
        <x:v>560</x:v>
      </x:c>
      <x:c r="I17" s="79">
        <x:f>Assumptions!G25</x:f>
        <x:v>614</x:v>
      </x:c>
      <x:c r="J17" s="79">
        <x:f>Assumptions!H25</x:f>
        <x:v>632</x:v>
      </x:c>
      <x:c r="K17" s="16" t="inlineStr">
        <x:is>
          <x:t xml:space="preserve">Public input / projection</x:t>
        </x:is>
      </x:c>
      <x:c r="L17" s="16" t="inlineStr">
        <x:is>
          <x:t xml:space="preserve">High</x:t>
        </x:is>
      </x:c>
      <x:c r="M17" s="16" t="inlineStr">
        <x:is>
          <x:t xml:space="preserve">Official ticketing releases</x:t>
        </x:is>
      </x:c>
      <x:c r="N17" s="36" t="inlineStr">
        <x:is>
          <x:t xml:space="preserve">Gulls Elite floor price.</x:t>
        </x:is>
      </x:c>
    </x:row>
    <x:row r="18">
      <x:c r="A18" s="2" t="n">
        <x:v>13</x:v>
      </x:c>
      <x:c r="B18" s="16" t="inlineStr">
        <x:is>
          <x:t xml:space="preserve">Fan Demand / Ticketing</x:t>
        </x:is>
      </x:c>
      <x:c r="C18" s="16" t="inlineStr">
        <x:is>
          <x:t xml:space="preserve">STM entry price per game</x:t>
        </x:is>
      </x:c>
      <x:c r="D18" s="16" t="inlineStr">
        <x:is>
          <x:t xml:space="preserve">$</x:t>
        </x:is>
      </x:c>
      <x:c r="E18" s="80">
        <x:f>E17/E7</x:f>
        <x:v>14</x:v>
      </x:c>
      <x:c r="F18" s="80">
        <x:f>F17/F7</x:f>
        <x:v>15</x:v>
      </x:c>
      <x:c r="G18" s="80">
        <x:f>G17/G7</x:f>
        <x:v>15</x:v>
      </x:c>
      <x:c r="H18" s="80">
        <x:f>H17/H7</x:f>
        <x:v>15.555555555555555</x:v>
      </x:c>
      <x:c r="I18" s="80">
        <x:f>I17/I7</x:f>
        <x:v>17.055555555555557</x:v>
      </x:c>
      <x:c r="J18" s="80">
        <x:f>J17/J7</x:f>
        <x:v>17.555555555555557</x:v>
      </x:c>
      <x:c r="K18" s="16" t="inlineStr">
        <x:is>
          <x:t xml:space="preserve">Derived</x:t>
        </x:is>
      </x:c>
      <x:c r="L18" s="16" t="inlineStr">
        <x:is>
          <x:t xml:space="preserve">High</x:t>
        </x:is>
      </x:c>
      <x:c r="M18" s="16" t="inlineStr">
        <x:is>
          <x:t xml:space="preserve">STM entry price ÷ home games</x:t>
        </x:is>
      </x:c>
      <x:c r="N18" s="36" t="inlineStr">
        <x:is>
          <x:t xml:space="preserve">Season-ticket floor divided by home games.</x:t>
        </x:is>
      </x:c>
    </x:row>
    <x:row r="19">
      <x:c r="A19" s="2" t="n">
        <x:v>14</x:v>
      </x:c>
      <x:c r="B19" s="16" t="inlineStr">
        <x:is>
          <x:t xml:space="preserve">Fan Demand / Ticketing</x:t>
        </x:is>
      </x:c>
      <x:c r="C19" s="16" t="inlineStr">
        <x:is>
          <x:t xml:space="preserve">Single-game floor (box office / public)</x:t>
        </x:is>
      </x:c>
      <x:c r="D19" s="16" t="inlineStr">
        <x:is>
          <x:t xml:space="preserve">$</x:t>
        </x:is>
      </x:c>
      <x:c r="E19" s="79">
        <x:f>Assumptions!C26</x:f>
        <x:v>19</x:v>
      </x:c>
      <x:c r="F19" s="79">
        <x:f>Assumptions!D26</x:f>
        <x:v>21</x:v>
      </x:c>
      <x:c r="G19" s="79">
        <x:f>Assumptions!E26</x:f>
        <x:v>20</x:v>
      </x:c>
      <x:c r="H19" s="79">
        <x:f>Assumptions!F26</x:f>
        <x:v>22</x:v>
      </x:c>
      <x:c r="I19" s="79">
        <x:f>Assumptions!G26</x:f>
        <x:v>23</x:v>
      </x:c>
      <x:c r="J19" s="79">
        <x:f>Assumptions!H26</x:f>
        <x:v>24</x:v>
      </x:c>
      <x:c r="K19" s="16" t="inlineStr">
        <x:is>
          <x:t xml:space="preserve">Public input / estimate / projection</x:t>
        </x:is>
      </x:c>
      <x:c r="L19" s="16" t="inlineStr">
        <x:is>
          <x:t xml:space="preserve">Medium</x:t>
        </x:is>
      </x:c>
      <x:c r="M19" s="16" t="inlineStr">
        <x:is>
          <x:t xml:space="preserve">Official ticketing releases</x:t>
        </x:is>
      </x:c>
      <x:c r="N19" s="36" t="inlineStr">
        <x:is>
          <x:t xml:space="preserve">2024-25 floor is interpolated estimate.</x:t>
        </x:is>
      </x:c>
    </x:row>
    <x:row r="20">
      <x:c r="A20" s="2" t="n">
        <x:v>15</x:v>
      </x:c>
      <x:c r="B20" s="16" t="inlineStr">
        <x:is>
          <x:t xml:space="preserve">Fan Demand / Ticketing</x:t>
        </x:is>
      </x:c>
      <x:c r="C20" s="16" t="inlineStr">
        <x:is>
          <x:t xml:space="preserve">Single-game floor (online incl. fees)</x:t>
        </x:is>
      </x:c>
      <x:c r="D20" s="16" t="inlineStr">
        <x:is>
          <x:t xml:space="preserve">$</x:t>
        </x:is>
      </x:c>
      <x:c r="E20" s="79">
        <x:f>Assumptions!C27</x:f>
        <x:v>0</x:v>
      </x:c>
      <x:c r="F20" s="79">
        <x:f>Assumptions!D27</x:f>
        <x:v>0</x:v>
      </x:c>
      <x:c r="G20" s="79">
        <x:f>Assumptions!E27</x:f>
        <x:v>0</x:v>
      </x:c>
      <x:c r="H20" s="79">
        <x:f>Assumptions!F27</x:f>
        <x:v>27.5</x:v>
      </x:c>
      <x:c r="I20" s="79">
        <x:f>Assumptions!G27</x:f>
        <x:v>28.75</x:v>
      </x:c>
      <x:c r="J20" s="79">
        <x:f>Assumptions!H27</x:f>
        <x:v>29.75</x:v>
      </x:c>
      <x:c r="K20" s="16" t="inlineStr">
        <x:is>
          <x:t xml:space="preserve">Estimate / projection</x:t>
        </x:is>
      </x:c>
      <x:c r="L20" s="16" t="inlineStr">
        <x:is>
          <x:t xml:space="preserve">Medium</x:t>
        </x:is>
      </x:c>
      <x:c r="M20" s="16" t="inlineStr">
        <x:is>
          <x:t xml:space="preserve">Official 2025-26 ticketing release</x:t>
        </x:is>
      </x:c>
      <x:c r="N20" s="36" t="inlineStr">
        <x:is>
          <x:t xml:space="preserve">2025-26 is official; 2024-25 and 2026-27 are modeled estimates.</x:t>
        </x:is>
      </x:c>
    </x:row>
    <x:row r="21">
      <x:c r="A21" s="2" t="n">
        <x:v>16</x:v>
      </x:c>
      <x:c r="B21" s="16" t="inlineStr">
        <x:is>
          <x:t xml:space="preserve">Fan Demand / Ticketing</x:t>
        </x:is>
      </x:c>
      <x:c r="C21" s="16" t="inlineStr">
        <x:is>
          <x:t xml:space="preserve">College ticket price</x:t>
        </x:is>
      </x:c>
      <x:c r="D21" s="16" t="inlineStr">
        <x:is>
          <x:t xml:space="preserve">$</x:t>
        </x:is>
      </x:c>
      <x:c r="E21" s="79">
        <x:f>Assumptions!C28</x:f>
        <x:v>0</x:v>
      </x:c>
      <x:c r="F21" s="79">
        <x:f>Assumptions!D28</x:f>
        <x:v>0</x:v>
      </x:c>
      <x:c r="G21" s="79">
        <x:f>Assumptions!E28</x:f>
        <x:v>0</x:v>
      </x:c>
      <x:c r="H21" s="79">
        <x:f>Assumptions!F28</x:f>
        <x:v>0</x:v>
      </x:c>
      <x:c r="I21" s="79">
        <x:f>Assumptions!G28</x:f>
        <x:v>17</x:v>
      </x:c>
      <x:c r="J21" s="79">
        <x:f>Assumptions!H28</x:f>
        <x:v>17.5</x:v>
      </x:c>
      <x:c r="K21" s="16" t="inlineStr">
        <x:is>
          <x:t xml:space="preserve">Public input / projection</x:t>
        </x:is>
      </x:c>
      <x:c r="L21" s="16" t="inlineStr">
        <x:is>
          <x:t xml:space="preserve">Medium</x:t>
        </x:is>
      </x:c>
      <x:c r="M21" s="16" t="inlineStr">
        <x:is>
          <x:t xml:space="preserve">Official college page</x:t>
        </x:is>
      </x:c>
      <x:c r="N21" s="36" t="inlineStr">
        <x:is>
          <x:t xml:space="preserve">Current season official price.</x:t>
        </x:is>
      </x:c>
    </x:row>
    <x:row r="22">
      <x:c r="A22" s="2" t="n">
        <x:v>17</x:v>
      </x:c>
      <x:c r="B22" s="16" t="inlineStr">
        <x:is>
          <x:t xml:space="preserve">Fan Demand / Ticketing</x:t>
        </x:is>
      </x:c>
      <x:c r="C22" s="16" t="inlineStr">
        <x:is>
          <x:t xml:space="preserve">Family pack price floor</x:t>
        </x:is>
      </x:c>
      <x:c r="D22" s="16" t="inlineStr">
        <x:is>
          <x:t xml:space="preserve">$</x:t>
        </x:is>
      </x:c>
      <x:c r="E22" s="79">
        <x:f>Assumptions!C29</x:f>
        <x:v>0</x:v>
      </x:c>
      <x:c r="F22" s="79">
        <x:f>Assumptions!D29</x:f>
        <x:v>0</x:v>
      </x:c>
      <x:c r="G22" s="79">
        <x:f>Assumptions!E29</x:f>
        <x:v>0</x:v>
      </x:c>
      <x:c r="H22" s="79">
        <x:f>Assumptions!F29</x:f>
        <x:v>0</x:v>
      </x:c>
      <x:c r="I22" s="79">
        <x:f>Assumptions!G29</x:f>
        <x:v>130</x:v>
      </x:c>
      <x:c r="J22" s="79">
        <x:f>Assumptions!H29</x:f>
        <x:v>135</x:v>
      </x:c>
      <x:c r="K22" s="16" t="inlineStr">
        <x:is>
          <x:t xml:space="preserve">Public input / projection</x:t>
        </x:is>
      </x:c>
      <x:c r="L22" s="16" t="inlineStr">
        <x:is>
          <x:t xml:space="preserve">Medium</x:t>
        </x:is>
      </x:c>
      <x:c r="M22" s="16" t="inlineStr">
        <x:is>
          <x:t xml:space="preserve">Official family-pack page</x:t>
        </x:is>
      </x:c>
      <x:c r="N22" s="36" t="inlineStr">
        <x:is>
          <x:t xml:space="preserve">Current-season official product.</x:t>
        </x:is>
      </x:c>
    </x:row>
    <x:row r="23">
      <x:c r="A23" s="2" t="n">
        <x:v>18</x:v>
      </x:c>
      <x:c r="B23" s="16" t="inlineStr">
        <x:is>
          <x:t xml:space="preserve">Fan Demand / Ticketing</x:t>
        </x:is>
      </x:c>
      <x:c r="C23" s="16" t="inlineStr">
        <x:is>
          <x:t xml:space="preserve">Group minimum size</x:t>
        </x:is>
      </x:c>
      <x:c r="D23" s="16" t="inlineStr">
        <x:is>
          <x:t xml:space="preserve">tickets</x:t>
        </x:is>
      </x:c>
      <x:c r="E23" s="78">
        <x:f>Assumptions!C30</x:f>
        <x:v>10</x:v>
      </x:c>
      <x:c r="F23" s="78">
        <x:f>Assumptions!D30</x:f>
        <x:v>10</x:v>
      </x:c>
      <x:c r="G23" s="78">
        <x:f>Assumptions!E30</x:f>
        <x:v>10</x:v>
      </x:c>
      <x:c r="H23" s="78">
        <x:f>Assumptions!F30</x:f>
        <x:v>10</x:v>
      </x:c>
      <x:c r="I23" s="78">
        <x:f>Assumptions!G30</x:f>
        <x:v>10</x:v>
      </x:c>
      <x:c r="J23" s="78">
        <x:f>Assumptions!H30</x:f>
        <x:v>10</x:v>
      </x:c>
      <x:c r="K23" s="16" t="inlineStr">
        <x:is>
          <x:t xml:space="preserve">Public / context</x:t>
        </x:is>
      </x:c>
      <x:c r="L23" s="16" t="inlineStr">
        <x:is>
          <x:t xml:space="preserve">Medium</x:t>
        </x:is>
      </x:c>
      <x:c r="M23" s="16" t="inlineStr">
        <x:is>
          <x:t xml:space="preserve">Official group page</x:t>
        </x:is>
      </x:c>
      <x:c r="N23" s="36" t="inlineStr">
        <x:is>
          <x:t xml:space="preserve">Assumed stable historically.</x:t>
        </x:is>
      </x:c>
    </x:row>
    <x:row r="24">
      <x:c r="A24" s="2" t="n">
        <x:v>19</x:v>
      </x:c>
      <x:c r="B24" s="16" t="inlineStr">
        <x:is>
          <x:t xml:space="preserve">Fan Demand / Ticketing</x:t>
        </x:is>
      </x:c>
      <x:c r="C24" s="16" t="inlineStr">
        <x:is>
          <x:t xml:space="preserve">Max mini-plan discount</x:t>
        </x:is>
      </x:c>
      <x:c r="D24" s="16" t="inlineStr">
        <x:is>
          <x:t xml:space="preserve">pct</x:t>
        </x:is>
      </x:c>
      <x:c r="E24" s="81">
        <x:f>Assumptions!C31</x:f>
        <x:v>0.15</x:v>
      </x:c>
      <x:c r="F24" s="81">
        <x:f>Assumptions!D31</x:f>
        <x:v>0.15</x:v>
      </x:c>
      <x:c r="G24" s="81">
        <x:f>Assumptions!E31</x:f>
        <x:v>0.2</x:v>
      </x:c>
      <x:c r="H24" s="81">
        <x:f>Assumptions!F31</x:f>
        <x:v>0.3</x:v>
      </x:c>
      <x:c r="I24" s="81">
        <x:f>Assumptions!G31</x:f>
        <x:v>0.3</x:v>
      </x:c>
      <x:c r="J24" s="81">
        <x:f>Assumptions!H31</x:f>
        <x:v>0.3</x:v>
      </x:c>
      <x:c r="K24" s="16" t="inlineStr">
        <x:is>
          <x:t xml:space="preserve">Estimate / projection</x:t>
        </x:is>
      </x:c>
      <x:c r="L24" s="16" t="inlineStr">
        <x:is>
          <x:t xml:space="preserve">Low</x:t>
        </x:is>
      </x:c>
      <x:c r="M24" s="16" t="inlineStr">
        <x:is>
          <x:t xml:space="preserve">Public current mini-plan page</x:t>
        </x:is>
      </x:c>
      <x:c r="N24" s="36" t="inlineStr">
        <x:is>
          <x:t xml:space="preserve">Historical values are conservative placeholders.</x:t>
        </x:is>
      </x:c>
    </x:row>
    <x:row r="25">
      <x:c r="A25" s="2" t="n">
        <x:v>20</x:v>
      </x:c>
      <x:c r="B25" s="16" t="inlineStr">
        <x:is>
          <x:t xml:space="preserve">Fan Demand / Ticketing</x:t>
        </x:is>
      </x:c>
      <x:c r="C25" s="16" t="inlineStr">
        <x:is>
          <x:t xml:space="preserve">Weighted average ticket price (modeled)</x:t>
        </x:is>
      </x:c>
      <x:c r="D25" s="16" t="inlineStr">
        <x:is>
          <x:t xml:space="preserve">$</x:t>
        </x:is>
      </x:c>
      <x:c r="E25" s="79">
        <x:f>Assumptions!C32</x:f>
        <x:v>22</x:v>
      </x:c>
      <x:c r="F25" s="79">
        <x:f>Assumptions!D32</x:f>
        <x:v>22.4</x:v>
      </x:c>
      <x:c r="G25" s="79">
        <x:f>Assumptions!E32</x:f>
        <x:v>23.4</x:v>
      </x:c>
      <x:c r="H25" s="79">
        <x:f>Assumptions!F32</x:f>
        <x:v>24.4</x:v>
      </x:c>
      <x:c r="I25" s="79">
        <x:f>Assumptions!G32</x:f>
        <x:v>25.4</x:v>
      </x:c>
      <x:c r="J25" s="79">
        <x:f>Assumptions!H32</x:f>
        <x:v>26.21</x:v>
      </x:c>
      <x:c r="K25" s="16" t="inlineStr">
        <x:is>
          <x:t xml:space="preserve">Estimate / projection</x:t>
        </x:is>
      </x:c>
      <x:c r="L25" s="16" t="inlineStr">
        <x:is>
          <x:t xml:space="preserve">Medium</x:t>
        </x:is>
      </x:c>
      <x:c r="M25" s="16" t="inlineStr">
        <x:is>
          <x:t xml:space="preserve">Model methodology</x:t>
        </x:is>
      </x:c>
      <x:c r="N25" s="36" t="inlineStr">
        <x:is>
          <x:t xml:space="preserve">Modeled from ticket product mix and public price anchors.</x:t>
        </x:is>
      </x:c>
    </x:row>
    <x:row r="26">
      <x:c r="A26" s="2" t="n">
        <x:v>21</x:v>
      </x:c>
      <x:c r="B26" s="16" t="inlineStr">
        <x:is>
          <x:t xml:space="preserve">Fan Demand / Ticketing</x:t>
        </x:is>
      </x:c>
      <x:c r="C26" s="16" t="inlineStr">
        <x:is>
          <x:t xml:space="preserve">Group sales share of gate</x:t>
        </x:is>
      </x:c>
      <x:c r="D26" s="16" t="inlineStr">
        <x:is>
          <x:t xml:space="preserve">pct</x:t>
        </x:is>
      </x:c>
      <x:c r="E26" s="81">
        <x:f>Assumptions!C33</x:f>
        <x:v>0.16</x:v>
      </x:c>
      <x:c r="F26" s="81">
        <x:f>Assumptions!D33</x:f>
        <x:v>0.17</x:v>
      </x:c>
      <x:c r="G26" s="81">
        <x:f>Assumptions!E33</x:f>
        <x:v>0.18</x:v>
      </x:c>
      <x:c r="H26" s="81">
        <x:f>Assumptions!F33</x:f>
        <x:v>0.19</x:v>
      </x:c>
      <x:c r="I26" s="81">
        <x:f>Assumptions!G33</x:f>
        <x:v>0.2</x:v>
      </x:c>
      <x:c r="J26" s="81">
        <x:f>Assumptions!H33</x:f>
        <x:v>0.21</x:v>
      </x:c>
      <x:c r="K26" s="16" t="inlineStr">
        <x:is>
          <x:t xml:space="preserve">Estimate / projection</x:t>
        </x:is>
      </x:c>
      <x:c r="L26" s="16" t="inlineStr">
        <x:is>
          <x:t xml:space="preserve">Low</x:t>
        </x:is>
      </x:c>
      <x:c r="M26" s="16" t="inlineStr">
        <x:is>
          <x:t xml:space="preserve">Model methodology</x:t>
        </x:is>
      </x:c>
      <x:c r="N26" s="36" t="inlineStr">
        <x:is>
          <x:t xml:space="preserve">Logical range based on minor-league group channel importance.</x:t>
        </x:is>
      </x:c>
    </x:row>
    <x:row r="27">
      <x:c r="A27" s="2" t="n">
        <x:v>22</x:v>
      </x:c>
      <x:c r="B27" s="16" t="inlineStr">
        <x:is>
          <x:t xml:space="preserve">Fan Demand / Ticketing</x:t>
        </x:is>
      </x:c>
      <x:c r="C27" s="16" t="inlineStr">
        <x:is>
          <x:t xml:space="preserve">Premium seating yield</x:t>
        </x:is>
      </x:c>
      <x:c r="D27" s="16" t="inlineStr">
        <x:is>
          <x:t xml:space="preserve">$</x:t>
        </x:is>
      </x:c>
      <x:c r="E27" s="79">
        <x:f>Assumptions!C34</x:f>
        <x:v>380000</x:v>
      </x:c>
      <x:c r="F27" s="79">
        <x:f>Assumptions!D34</x:f>
        <x:v>400000</x:v>
      </x:c>
      <x:c r="G27" s="79">
        <x:f>Assumptions!E34</x:f>
        <x:v>460000</x:v>
      </x:c>
      <x:c r="H27" s="79">
        <x:f>Assumptions!F34</x:f>
        <x:v>520000</x:v>
      </x:c>
      <x:c r="I27" s="79">
        <x:f>Assumptions!G34</x:f>
        <x:v>600000</x:v>
      </x:c>
      <x:c r="J27" s="79">
        <x:f>Assumptions!H34</x:f>
        <x:v>660000</x:v>
      </x:c>
      <x:c r="K27" s="16" t="inlineStr">
        <x:is>
          <x:t xml:space="preserve">Estimate / projection</x:t>
        </x:is>
      </x:c>
      <x:c r="L27" s="16" t="inlineStr">
        <x:is>
          <x:t xml:space="preserve">Low</x:t>
        </x:is>
      </x:c>
      <x:c r="M27" s="16" t="inlineStr">
        <x:is>
          <x:t xml:space="preserve">Model methodology</x:t>
        </x:is>
      </x:c>
      <x:c r="N27" s="36" t="inlineStr">
        <x:is>
          <x:t xml:space="preserve">Embedded within gate yield; not additive in revenue total.</x:t>
        </x:is>
      </x:c>
    </x:row>
    <x:row r="28">
      <x:c r="A28" s="2" t="n">
        <x:v>23</x:v>
      </x:c>
      <x:c r="B28" s="16" t="inlineStr">
        <x:is>
          <x:t xml:space="preserve">Fan Demand / Ticketing</x:t>
        </x:is>
      </x:c>
      <x:c r="C28" s="16" t="inlineStr">
        <x:is>
          <x:t xml:space="preserve">STM base (FSE)</x:t>
        </x:is>
      </x:c>
      <x:c r="D28" s="16" t="inlineStr">
        <x:is>
          <x:t xml:space="preserve">FSE</x:t>
        </x:is>
      </x:c>
      <x:c r="E28" s="78">
        <x:f>Assumptions!C35</x:f>
        <x:v>2300</x:v>
      </x:c>
      <x:c r="F28" s="78">
        <x:f>Assumptions!D35</x:f>
        <x:v>2350</x:v>
      </x:c>
      <x:c r="G28" s="78">
        <x:f>Assumptions!E35</x:f>
        <x:v>2450</x:v>
      </x:c>
      <x:c r="H28" s="78">
        <x:f>Assumptions!F35</x:f>
        <x:v>2550</x:v>
      </x:c>
      <x:c r="I28" s="78">
        <x:f>Assumptions!G35</x:f>
        <x:v>2700</x:v>
      </x:c>
      <x:c r="J28" s="78">
        <x:f>Assumptions!H35</x:f>
        <x:v>2780</x:v>
      </x:c>
      <x:c r="K28" s="16" t="inlineStr">
        <x:is>
          <x:t xml:space="preserve">Estimate / projection</x:t>
        </x:is>
      </x:c>
      <x:c r="L28" s="16" t="inlineStr">
        <x:is>
          <x:t xml:space="preserve">Low</x:t>
        </x:is>
      </x:c>
      <x:c r="M28" s="16" t="inlineStr">
        <x:is>
          <x:t xml:space="preserve">Model methodology</x:t>
        </x:is>
      </x:c>
      <x:c r="N28" s="36" t="inlineStr">
        <x:is>
          <x:t xml:space="preserve">Modeled from attendance and ticket mix.</x:t>
        </x:is>
      </x:c>
    </x:row>
    <x:row r="29">
      <x:c r="A29" s="2" t="n">
        <x:v>24</x:v>
      </x:c>
      <x:c r="B29" s="16" t="inlineStr">
        <x:is>
          <x:t xml:space="preserve">Fan Demand / Ticketing</x:t>
        </x:is>
      </x:c>
      <x:c r="C29" s="16" t="inlineStr">
        <x:is>
          <x:t xml:space="preserve">STM retention rate</x:t>
        </x:is>
      </x:c>
      <x:c r="D29" s="16" t="inlineStr">
        <x:is>
          <x:t xml:space="preserve">pct</x:t>
        </x:is>
      </x:c>
      <x:c r="E29" s="81">
        <x:f>Assumptions!C36</x:f>
        <x:v>0.77</x:v>
      </x:c>
      <x:c r="F29" s="81">
        <x:f>Assumptions!D36</x:f>
        <x:v>0.76</x:v>
      </x:c>
      <x:c r="G29" s="81">
        <x:f>Assumptions!E36</x:f>
        <x:v>0.78</x:v>
      </x:c>
      <x:c r="H29" s="81">
        <x:f>Assumptions!F36</x:f>
        <x:v>0.8</x:v>
      </x:c>
      <x:c r="I29" s="81">
        <x:f>Assumptions!G36</x:f>
        <x:v>0.82</x:v>
      </x:c>
      <x:c r="J29" s="81">
        <x:f>Assumptions!H36</x:f>
        <x:v>0.83</x:v>
      </x:c>
      <x:c r="K29" s="16" t="inlineStr">
        <x:is>
          <x:t xml:space="preserve">Estimate / projection</x:t>
        </x:is>
      </x:c>
      <x:c r="L29" s="16" t="inlineStr">
        <x:is>
          <x:t xml:space="preserve">Low</x:t>
        </x:is>
      </x:c>
      <x:c r="M29" s="16" t="inlineStr">
        <x:is>
          <x:t xml:space="preserve">Model methodology</x:t>
        </x:is>
      </x:c>
      <x:c r="N29" s="36" t="inlineStr">
        <x:is>
          <x:t xml:space="preserve">Modeled range.</x:t>
        </x:is>
      </x:c>
    </x:row>
    <x:row r="30">
      <x:c r="A30" s="34" t="inlineStr">
        <x:is>
          <x:t xml:space="preserve">2. Revenue Engine &amp; Economics</x:t>
        </x:is>
      </x:c>
    </x:row>
    <x:row r="31">
      <x:c r="A31" s="40" t="n">
        <x:v>25</x:v>
      </x:c>
      <x:c r="B31" s="41" t="inlineStr">
        <x:is>
          <x:t xml:space="preserve">Revenue Engine</x:t>
        </x:is>
      </x:c>
      <x:c r="C31" s="42" t="inlineStr">
        <x:is>
          <x:t xml:space="preserve">Gate revenue</x:t>
        </x:is>
      </x:c>
      <x:c r="D31" s="41" t="inlineStr">
        <x:is>
          <x:t xml:space="preserve">$</x:t>
        </x:is>
      </x:c>
      <x:c r="E31" s="82">
        <x:f>E8*E25</x:f>
        <x:v>5230016</x:v>
      </x:c>
      <x:c r="F31" s="82">
        <x:f>F8*F25</x:f>
        <x:v>5606899.199999999</x:v>
      </x:c>
      <x:c r="G31" s="82">
        <x:f>G8*G25</x:f>
        <x:v>6106557.6</x:v>
      </x:c>
      <x:c r="H31" s="82">
        <x:f>H8*H25</x:f>
        <x:v>6378940.8</x:v>
      </x:c>
      <x:c r="I31" s="82">
        <x:f>I8*I25</x:f>
        <x:v>6769303.199999999</x:v>
      </x:c>
      <x:c r="J31" s="82">
        <x:f>J8*J25</x:f>
        <x:v>7194645</x:v>
      </x:c>
      <x:c r="K31" s="41" t="inlineStr">
        <x:is>
          <x:t xml:space="preserve">Derived</x:t>
        </x:is>
      </x:c>
      <x:c r="L31" s="41" t="inlineStr">
        <x:is>
          <x:t xml:space="preserve">Medium</x:t>
        </x:is>
      </x:c>
      <x:c r="M31" s="41" t="inlineStr">
        <x:is>
          <x:t xml:space="preserve">Total attendance × WATP</x:t>
        </x:is>
      </x:c>
      <x:c r="N31" s="44" t="inlineStr">
        <x:is>
          <x:t xml:space="preserve">Modeled gate revenue using weighted average ticket price.</x:t>
        </x:is>
      </x:c>
    </x:row>
    <x:row r="32">
      <x:c r="A32" s="2" t="n">
        <x:v>26</x:v>
      </x:c>
      <x:c r="B32" s="16" t="inlineStr">
        <x:is>
          <x:t xml:space="preserve">Revenue Engine</x:t>
        </x:is>
      </x:c>
      <x:c r="C32" s="16" t="inlineStr">
        <x:is>
          <x:t xml:space="preserve">Facility fee per paid ticket</x:t>
        </x:is>
      </x:c>
      <x:c r="D32" s="16" t="inlineStr">
        <x:is>
          <x:t xml:space="preserve">$</x:t>
        </x:is>
      </x:c>
      <x:c r="E32" s="79">
        <x:f>Assumptions!C57</x:f>
        <x:v>0</x:v>
      </x:c>
      <x:c r="F32" s="79">
        <x:f>Assumptions!D57</x:f>
        <x:v>0</x:v>
      </x:c>
      <x:c r="G32" s="79">
        <x:f>Assumptions!E57</x:f>
        <x:v>2.5</x:v>
      </x:c>
      <x:c r="H32" s="79">
        <x:f>Assumptions!F57</x:f>
        <x:v>3</x:v>
      </x:c>
      <x:c r="I32" s="79">
        <x:f>Assumptions!G57</x:f>
        <x:v>3</x:v>
      </x:c>
      <x:c r="J32" s="79">
        <x:f>Assumptions!H57</x:f>
        <x:v>3</x:v>
      </x:c>
      <x:c r="K32" s="16" t="inlineStr">
        <x:is>
          <x:t xml:space="preserve">Estimate</x:t>
        </x:is>
      </x:c>
      <x:c r="L32" s="16" t="inlineStr">
        <x:is>
          <x:t xml:space="preserve">Low</x:t>
        </x:is>
      </x:c>
      <x:c r="M32" s="16" t="inlineStr">
        <x:is>
          <x:t xml:space="preserve">Lease-era reporting / model assumption</x:t>
        </x:is>
      </x:c>
      <x:c r="N32" s="36" t="inlineStr">
        <x:is>
          <x:t xml:space="preserve">Publicly discussed current surcharge structure; early years not confirmed.</x:t>
        </x:is>
      </x:c>
    </x:row>
    <x:row r="33">
      <x:c r="A33" s="2" t="n">
        <x:v>27</x:v>
      </x:c>
      <x:c r="B33" s="16" t="inlineStr">
        <x:is>
          <x:t xml:space="preserve">Revenue Engine</x:t>
        </x:is>
      </x:c>
      <x:c r="C33" s="16" t="inlineStr">
        <x:is>
          <x:t xml:space="preserve">Facility fee liability</x:t>
        </x:is>
      </x:c>
      <x:c r="D33" s="16" t="inlineStr">
        <x:is>
          <x:t xml:space="preserve">$</x:t>
        </x:is>
      </x:c>
      <x:c r="E33" s="80">
        <x:f>IFERROR(E8*E32,"")</x:f>
        <x:v>0</x:v>
      </x:c>
      <x:c r="F33" s="80">
        <x:f>IFERROR(F8*F32,"")</x:f>
        <x:v>0</x:v>
      </x:c>
      <x:c r="G33" s="80">
        <x:f>IFERROR(G8*G32,"")</x:f>
        <x:v>652410</x:v>
      </x:c>
      <x:c r="H33" s="80">
        <x:f>IFERROR(H8*H32,"")</x:f>
        <x:v>784296</x:v>
      </x:c>
      <x:c r="I33" s="80">
        <x:f>IFERROR(I8*I32,"")</x:f>
        <x:v>799524</x:v>
      </x:c>
      <x:c r="J33" s="80">
        <x:f>IFERROR(J8*J32,"")</x:f>
        <x:v>823500</x:v>
      </x:c>
      <x:c r="K33" s="16" t="inlineStr">
        <x:is>
          <x:t xml:space="preserve">Derived</x:t>
        </x:is>
      </x:c>
      <x:c r="L33" s="16" t="inlineStr">
        <x:is>
          <x:t xml:space="preserve">Low</x:t>
        </x:is>
      </x:c>
      <x:c r="M33" s="16" t="inlineStr">
        <x:is>
          <x:t xml:space="preserve">Total attendance × facility fee</x:t>
        </x:is>
      </x:c>
      <x:c r="N33" s="36" t="inlineStr">
        <x:is>
          <x:t xml:space="preserve">Pass-through city/venue fee liability estimate.</x:t>
        </x:is>
      </x:c>
    </x:row>
    <x:row r="34">
      <x:c r="A34" s="2" t="n">
        <x:v>28</x:v>
      </x:c>
      <x:c r="B34" s="16" t="inlineStr">
        <x:is>
          <x:t xml:space="preserve">Revenue Engine</x:t>
        </x:is>
      </x:c>
      <x:c r="C34" s="16" t="inlineStr">
        <x:is>
          <x:t xml:space="preserve">Revenue per available seat (RevPAS)</x:t>
        </x:is>
      </x:c>
      <x:c r="D34" s="16" t="inlineStr">
        <x:is>
          <x:t xml:space="preserve">$</x:t>
        </x:is>
      </x:c>
      <x:c r="E34" s="80">
        <x:f>IFERROR(E31/(E56*E7),"")</x:f>
        <x:v>11.905882352941177</x:v>
      </x:c>
      <x:c r="F34" s="80">
        <x:f>IFERROR(F31/(F56*F7),"")</x:f>
        <x:v>12.054736842105262</x:v>
      </x:c>
      <x:c r="G34" s="80">
        <x:f>IFERROR(G31/(G56*G7),"")</x:f>
        <x:v>13.128993808049534</x:v>
      </x:c>
      <x:c r="H34" s="80">
        <x:f>IFERROR(H31/(H56*H7),"")</x:f>
        <x:v>13.714613003095975</x:v>
      </x:c>
      <x:c r="I34" s="80">
        <x:f>IFERROR(I31/(I56*I7),"")</x:f>
        <x:v>14.553885448916407</x:v>
      </x:c>
      <x:c r="J34" s="80">
        <x:f>IFERROR(J31/(J56*J7),"")</x:f>
        <x:v>15.468363003095975</x:v>
      </x:c>
      <x:c r="K34" s="16" t="inlineStr">
        <x:is>
          <x:t xml:space="preserve">Derived</x:t>
        </x:is>
      </x:c>
      <x:c r="L34" s="16" t="inlineStr">
        <x:is>
          <x:t xml:space="preserve">Medium</x:t>
        </x:is>
      </x:c>
      <x:c r="M34" s="16" t="inlineStr">
        <x:is>
          <x:t xml:space="preserve">Gate ÷ (capacity × home games)</x:t>
        </x:is>
      </x:c>
      <x:c r="N34" s="36" t="inlineStr">
        <x:is>
          <x:t xml:space="preserve">Uses 12,920 hockey capacity.</x:t>
        </x:is>
      </x:c>
    </x:row>
    <x:row r="35">
      <x:c r="A35" s="2" t="n">
        <x:v>29</x:v>
      </x:c>
      <x:c r="B35" s="16" t="inlineStr">
        <x:is>
          <x:t xml:space="preserve">Revenue Engine</x:t>
        </x:is>
      </x:c>
      <x:c r="C35" s="16" t="inlineStr">
        <x:is>
          <x:t xml:space="preserve">F&amp;B per-cap gross</x:t>
        </x:is>
      </x:c>
      <x:c r="D35" s="16" t="inlineStr">
        <x:is>
          <x:t xml:space="preserve">$</x:t>
        </x:is>
      </x:c>
      <x:c r="E35" s="79">
        <x:f>Assumptions!C37</x:f>
        <x:v>13</x:v>
      </x:c>
      <x:c r="F35" s="79">
        <x:f>Assumptions!D37</x:f>
        <x:v>13.4</x:v>
      </x:c>
      <x:c r="G35" s="79">
        <x:f>Assumptions!E37</x:f>
        <x:v>14</x:v>
      </x:c>
      <x:c r="H35" s="79">
        <x:f>Assumptions!F37</x:f>
        <x:v>14.8</x:v>
      </x:c>
      <x:c r="I35" s="79">
        <x:f>Assumptions!G37</x:f>
        <x:v>15.5</x:v>
      </x:c>
      <x:c r="J35" s="79">
        <x:f>Assumptions!H37</x:f>
        <x:v>16</x:v>
      </x:c>
      <x:c r="K35" s="16" t="inlineStr">
        <x:is>
          <x:t xml:space="preserve">Estimate / projection</x:t>
        </x:is>
      </x:c>
      <x:c r="L35" s="16" t="inlineStr">
        <x:is>
          <x:t xml:space="preserve">Low</x:t>
        </x:is>
      </x:c>
      <x:c r="M35" s="16" t="inlineStr">
        <x:is>
          <x:t xml:space="preserve">Model methodology</x:t>
        </x:is>
      </x:c>
      <x:c r="N35" s="36" t="inlineStr">
        <x:is>
          <x:t xml:space="preserve">Gross in-building spend, not team net.</x:t>
        </x:is>
      </x:c>
    </x:row>
    <x:row r="36">
      <x:c r="A36" s="2" t="n">
        <x:v>30</x:v>
      </x:c>
      <x:c r="B36" s="16" t="inlineStr">
        <x:is>
          <x:t xml:space="preserve">Revenue Engine</x:t>
        </x:is>
      </x:c>
      <x:c r="C36" s="16" t="inlineStr">
        <x:is>
          <x:t xml:space="preserve">Team concession commission rate</x:t>
        </x:is>
      </x:c>
      <x:c r="D36" s="16" t="inlineStr">
        <x:is>
          <x:t xml:space="preserve">pct</x:t>
        </x:is>
      </x:c>
      <x:c r="E36" s="81">
        <x:f>Assumptions!C38</x:f>
        <x:v>0.04</x:v>
      </x:c>
      <x:c r="F36" s="81">
        <x:f>Assumptions!D38</x:f>
        <x:v>0.04</x:v>
      </x:c>
      <x:c r="G36" s="81">
        <x:f>Assumptions!E38</x:f>
        <x:v>0.04</x:v>
      </x:c>
      <x:c r="H36" s="81">
        <x:f>Assumptions!F38</x:f>
        <x:v>0.04</x:v>
      </x:c>
      <x:c r="I36" s="81">
        <x:f>Assumptions!G38</x:f>
        <x:v>0.04</x:v>
      </x:c>
      <x:c r="J36" s="81">
        <x:f>Assumptions!H38</x:f>
        <x:v>0.04</x:v>
      </x:c>
      <x:c r="K36" s="16" t="inlineStr">
        <x:is>
          <x:t xml:space="preserve">Estimate</x:t>
        </x:is>
      </x:c>
      <x:c r="L36" s="16" t="inlineStr">
        <x:is>
          <x:t xml:space="preserve">Low</x:t>
        </x:is>
      </x:c>
      <x:c r="M36" s="16" t="inlineStr">
        <x:is>
          <x:t xml:space="preserve">Model methodology</x:t>
        </x:is>
      </x:c>
      <x:c r="N36" s="36" t="inlineStr">
        <x:is>
          <x:t xml:space="preserve">Private split; modeled nominal rate.</x:t>
        </x:is>
      </x:c>
    </x:row>
    <x:row r="37">
      <x:c r="A37" s="2" t="n">
        <x:v>31</x:v>
      </x:c>
      <x:c r="B37" s="16" t="inlineStr">
        <x:is>
          <x:t xml:space="preserve">Revenue Engine</x:t>
        </x:is>
      </x:c>
      <x:c r="C37" s="16" t="inlineStr">
        <x:is>
          <x:t xml:space="preserve">Concession commission revenue</x:t>
        </x:is>
      </x:c>
      <x:c r="D37" s="16" t="inlineStr">
        <x:is>
          <x:t xml:space="preserve">$</x:t>
        </x:is>
      </x:c>
      <x:c r="E37" s="80">
        <x:f>E8*E35*E36</x:f>
        <x:v>123618.56</x:v>
      </x:c>
      <x:c r="F37" s="80">
        <x:f>F8*F35*F36</x:f>
        <x:v>134165.08800000002</x:v>
      </x:c>
      <x:c r="G37" s="80">
        <x:f>G8*G35*G36</x:f>
        <x:v>146139.84</x:v>
      </x:c>
      <x:c r="H37" s="80">
        <x:f>H8*H35*H36</x:f>
        <x:v>154767.744</x:v>
      </x:c>
      <x:c r="I37" s="80">
        <x:f>I8*I35*I36</x:f>
        <x:v>165234.96</x:v>
      </x:c>
      <x:c r="J37" s="80">
        <x:f>J8*J35*J36</x:f>
        <x:v>175680</x:v>
      </x:c>
      <x:c r="K37" s="16" t="inlineStr">
        <x:is>
          <x:t xml:space="preserve">Derived</x:t>
        </x:is>
      </x:c>
      <x:c r="L37" s="16" t="inlineStr">
        <x:is>
          <x:t xml:space="preserve">Low</x:t>
        </x:is>
      </x:c>
      <x:c r="M37" s="16" t="inlineStr">
        <x:is>
          <x:t xml:space="preserve">Attendance × F&amp;B per-cap × commission rate</x:t>
        </x:is>
      </x:c>
      <x:c r="N37" s="36" t="inlineStr">
        <x:is>
          <x:t xml:space="preserve">Team-side concession revenue estimate.</x:t>
        </x:is>
      </x:c>
    </x:row>
    <x:row r="38">
      <x:c r="A38" s="2" t="n">
        <x:v>32</x:v>
      </x:c>
      <x:c r="B38" s="16" t="inlineStr">
        <x:is>
          <x:t xml:space="preserve">Revenue Engine</x:t>
        </x:is>
      </x:c>
      <x:c r="C38" s="16" t="inlineStr">
        <x:is>
          <x:t xml:space="preserve">Merchandise per-cap</x:t>
        </x:is>
      </x:c>
      <x:c r="D38" s="16" t="inlineStr">
        <x:is>
          <x:t xml:space="preserve">$</x:t>
        </x:is>
      </x:c>
      <x:c r="E38" s="79">
        <x:f>Assumptions!C39</x:f>
        <x:v>3.6</x:v>
      </x:c>
      <x:c r="F38" s="79">
        <x:f>Assumptions!D39</x:f>
        <x:v>3.8</x:v>
      </x:c>
      <x:c r="G38" s="79">
        <x:f>Assumptions!E39</x:f>
        <x:v>4</x:v>
      </x:c>
      <x:c r="H38" s="79">
        <x:f>Assumptions!F39</x:f>
        <x:v>4.2</x:v>
      </x:c>
      <x:c r="I38" s="79">
        <x:f>Assumptions!G39</x:f>
        <x:v>4.5</x:v>
      </x:c>
      <x:c r="J38" s="79">
        <x:f>Assumptions!H39</x:f>
        <x:v>4.7</x:v>
      </x:c>
      <x:c r="K38" s="16" t="inlineStr">
        <x:is>
          <x:t xml:space="preserve">Estimate / projection</x:t>
        </x:is>
      </x:c>
      <x:c r="L38" s="16" t="inlineStr">
        <x:is>
          <x:t xml:space="preserve">Low</x:t>
        </x:is>
      </x:c>
      <x:c r="M38" s="16" t="inlineStr">
        <x:is>
          <x:t xml:space="preserve">Model methodology</x:t>
        </x:is>
      </x:c>
      <x:c r="N38" s="36" t="inlineStr">
        <x:is>
          <x:t xml:space="preserve">Modeled team-store spend per attendee.</x:t>
        </x:is>
      </x:c>
    </x:row>
    <x:row r="39">
      <x:c r="A39" s="2" t="n">
        <x:v>33</x:v>
      </x:c>
      <x:c r="B39" s="16" t="inlineStr">
        <x:is>
          <x:t xml:space="preserve">Revenue Engine</x:t>
        </x:is>
      </x:c>
      <x:c r="C39" s="16" t="inlineStr">
        <x:is>
          <x:t xml:space="preserve">Merchandise revenue</x:t>
        </x:is>
      </x:c>
      <x:c r="D39" s="16" t="inlineStr">
        <x:is>
          <x:t xml:space="preserve">$</x:t>
        </x:is>
      </x:c>
      <x:c r="E39" s="80">
        <x:f>E8*E38</x:f>
        <x:v>855820.8</x:v>
      </x:c>
      <x:c r="F39" s="80">
        <x:f>F8*F38</x:f>
        <x:v>951170.3999999999</x:v>
      </x:c>
      <x:c r="G39" s="80">
        <x:f>G8*G38</x:f>
        <x:v>1043856</x:v>
      </x:c>
      <x:c r="H39" s="80">
        <x:f>H8*H38</x:f>
        <x:v>1098014.4000000001</x:v>
      </x:c>
      <x:c r="I39" s="80">
        <x:f>I8*I38</x:f>
        <x:v>1199286</x:v>
      </x:c>
      <x:c r="J39" s="80">
        <x:f>J8*J38</x:f>
        <x:v>1290150</x:v>
      </x:c>
      <x:c r="K39" s="16" t="inlineStr">
        <x:is>
          <x:t xml:space="preserve">Derived</x:t>
        </x:is>
      </x:c>
      <x:c r="L39" s="16" t="inlineStr">
        <x:is>
          <x:t xml:space="preserve">Low</x:t>
        </x:is>
      </x:c>
      <x:c r="M39" s="16" t="inlineStr">
        <x:is>
          <x:t xml:space="preserve">Attendance × merch per-cap</x:t>
        </x:is>
      </x:c>
      <x:c r="N39" s="36" t="inlineStr">
        <x:is>
          <x:t xml:space="preserve">Modeled gross merchandise revenue.</x:t>
        </x:is>
      </x:c>
    </x:row>
    <x:row r="40">
      <x:c r="A40" s="2" t="n">
        <x:v>34</x:v>
      </x:c>
      <x:c r="B40" s="16" t="inlineStr">
        <x:is>
          <x:t xml:space="preserve">Revenue Engine</x:t>
        </x:is>
      </x:c>
      <x:c r="C40" s="16" t="inlineStr">
        <x:is>
          <x:t xml:space="preserve">Parking fee assumption</x:t>
        </x:is>
      </x:c>
      <x:c r="D40" s="16" t="inlineStr">
        <x:is>
          <x:t xml:space="preserve">$</x:t>
        </x:is>
      </x:c>
      <x:c r="E40" s="79">
        <x:f>Assumptions!C40</x:f>
        <x:v>15</x:v>
      </x:c>
      <x:c r="F40" s="79">
        <x:f>Assumptions!D40</x:f>
        <x:v>15</x:v>
      </x:c>
      <x:c r="G40" s="79">
        <x:f>Assumptions!E40</x:f>
        <x:v>15</x:v>
      </x:c>
      <x:c r="H40" s="79">
        <x:f>Assumptions!F40</x:f>
        <x:v>18</x:v>
      </x:c>
      <x:c r="I40" s="79">
        <x:f>Assumptions!G40</x:f>
        <x:v>20</x:v>
      </x:c>
      <x:c r="J40" s="79">
        <x:f>Assumptions!H40</x:f>
        <x:v>21</x:v>
      </x:c>
      <x:c r="K40" s="16" t="inlineStr">
        <x:is>
          <x:t xml:space="preserve">Estimate / projection</x:t>
        </x:is>
      </x:c>
      <x:c r="L40" s="16" t="inlineStr">
        <x:is>
          <x:t xml:space="preserve">Low</x:t>
        </x:is>
      </x:c>
      <x:c r="M40" s="16" t="inlineStr">
        <x:is>
          <x:t xml:space="preserve">Public parking page + model</x:t>
        </x:is>
      </x:c>
      <x:c r="N40" s="36" t="inlineStr">
        <x:is>
          <x:t xml:space="preserve">Event-specific public fee structure; year values are model anchors.</x:t>
        </x:is>
      </x:c>
    </x:row>
    <x:row r="41">
      <x:c r="A41" s="2" t="n">
        <x:v>35</x:v>
      </x:c>
      <x:c r="B41" s="16" t="inlineStr">
        <x:is>
          <x:t xml:space="preserve">Revenue Engine</x:t>
        </x:is>
      </x:c>
      <x:c r="C41" s="16" t="inlineStr">
        <x:is>
          <x:t xml:space="preserve">Average auto occupancy</x:t>
        </x:is>
      </x:c>
      <x:c r="D41" s="16" t="inlineStr">
        <x:is>
          <x:t xml:space="preserve">persons</x:t>
        </x:is>
      </x:c>
      <x:c r="E41" s="45">
        <x:f>Assumptions!C41</x:f>
        <x:v>2.6</x:v>
      </x:c>
      <x:c r="F41" s="45">
        <x:f>Assumptions!D41</x:f>
        <x:v>2.6</x:v>
      </x:c>
      <x:c r="G41" s="45">
        <x:f>Assumptions!E41</x:f>
        <x:v>2.6</x:v>
      </x:c>
      <x:c r="H41" s="45">
        <x:f>Assumptions!F41</x:f>
        <x:v>2.5</x:v>
      </x:c>
      <x:c r="I41" s="45">
        <x:f>Assumptions!G41</x:f>
        <x:v>2.5</x:v>
      </x:c>
      <x:c r="J41" s="45">
        <x:f>Assumptions!H41</x:f>
        <x:v>2.5</x:v>
      </x:c>
      <x:c r="K41" s="16" t="inlineStr">
        <x:is>
          <x:t xml:space="preserve">Estimate</x:t>
        </x:is>
      </x:c>
      <x:c r="L41" s="16" t="inlineStr">
        <x:is>
          <x:t xml:space="preserve">Low</x:t>
        </x:is>
      </x:c>
      <x:c r="M41" s="16" t="inlineStr">
        <x:is>
          <x:t xml:space="preserve">Model methodology</x:t>
        </x:is>
      </x:c>
      <x:c r="N41" s="36" t="inlineStr">
        <x:is>
          <x:t xml:space="preserve">Transport assumption for parking yield.</x:t>
        </x:is>
      </x:c>
    </x:row>
    <x:row r="42">
      <x:c r="A42" s="2" t="n">
        <x:v>36</x:v>
      </x:c>
      <x:c r="B42" s="16" t="inlineStr">
        <x:is>
          <x:t xml:space="preserve">Revenue Engine</x:t>
        </x:is>
      </x:c>
      <x:c r="C42" s="16" t="inlineStr">
        <x:is>
          <x:t xml:space="preserve">Team share of parking</x:t>
        </x:is>
      </x:c>
      <x:c r="D42" s="16" t="inlineStr">
        <x:is>
          <x:t xml:space="preserve">pct</x:t>
        </x:is>
      </x:c>
      <x:c r="E42" s="81">
        <x:f>Assumptions!C42</x:f>
        <x:v>0.05</x:v>
      </x:c>
      <x:c r="F42" s="81">
        <x:f>Assumptions!D42</x:f>
        <x:v>0.05</x:v>
      </x:c>
      <x:c r="G42" s="81">
        <x:f>Assumptions!E42</x:f>
        <x:v>0.05</x:v>
      </x:c>
      <x:c r="H42" s="81">
        <x:f>Assumptions!F42</x:f>
        <x:v>0.05</x:v>
      </x:c>
      <x:c r="I42" s="81">
        <x:f>Assumptions!G42</x:f>
        <x:v>0.05</x:v>
      </x:c>
      <x:c r="J42" s="81">
        <x:f>Assumptions!H42</x:f>
        <x:v>0.05</x:v>
      </x:c>
      <x:c r="K42" s="16" t="inlineStr">
        <x:is>
          <x:t xml:space="preserve">Estimate</x:t>
        </x:is>
      </x:c>
      <x:c r="L42" s="16" t="inlineStr">
        <x:is>
          <x:t xml:space="preserve">Low</x:t>
        </x:is>
      </x:c>
      <x:c r="M42" s="16" t="inlineStr">
        <x:is>
          <x:t xml:space="preserve">Model methodology</x:t>
        </x:is>
      </x:c>
      <x:c r="N42" s="36" t="inlineStr">
        <x:is>
          <x:t xml:space="preserve">No public split located; nominal placeholder only.</x:t>
        </x:is>
      </x:c>
    </x:row>
    <x:row r="43">
      <x:c r="A43" s="2" t="n">
        <x:v>37</x:v>
      </x:c>
      <x:c r="B43" s="16" t="inlineStr">
        <x:is>
          <x:t xml:space="preserve">Revenue Engine</x:t>
        </x:is>
      </x:c>
      <x:c r="C43" s="16" t="inlineStr">
        <x:is>
          <x:t xml:space="preserve">Parking revenue yield</x:t>
        </x:is>
      </x:c>
      <x:c r="D43" s="16" t="inlineStr">
        <x:is>
          <x:t xml:space="preserve">$</x:t>
        </x:is>
      </x:c>
      <x:c r="E43" s="80">
        <x:f>IFERROR((E8/E41)*E40*E42,"")</x:f>
        <x:v>68575.38461538461</x:v>
      </x:c>
      <x:c r="F43" s="80">
        <x:f>IFERROR((F8/F41)*F40*F42,"")</x:f>
        <x:v>72204.23076923077</x:v>
      </x:c>
      <x:c r="G43" s="80">
        <x:f>IFERROR((G8/G41)*G40*G42,"")</x:f>
        <x:v>75278.07692307692</x:v>
      </x:c>
      <x:c r="H43" s="80">
        <x:f>IFERROR((H8/H41)*H40*H42,"")</x:f>
        <x:v>94115.52000000002</x:v>
      </x:c>
      <x:c r="I43" s="80">
        <x:f>IFERROR((I8/I41)*I40*I42,"")</x:f>
        <x:v>106603.20000000001</x:v>
      </x:c>
      <x:c r="J43" s="80">
        <x:f>IFERROR((J8/J41)*J40*J42,"")</x:f>
        <x:v>115290</x:v>
      </x:c>
      <x:c r="K43" s="16" t="inlineStr">
        <x:is>
          <x:t xml:space="preserve">Derived</x:t>
        </x:is>
      </x:c>
      <x:c r="L43" s="16" t="inlineStr">
        <x:is>
          <x:t xml:space="preserve">Low</x:t>
        </x:is>
      </x:c>
      <x:c r="M43" s="16" t="inlineStr">
        <x:is>
          <x:t xml:space="preserve">Attendance ÷ occupancy × fee × share</x:t>
        </x:is>
      </x:c>
      <x:c r="N43" s="36" t="inlineStr">
        <x:is>
          <x:t xml:space="preserve">Team-side parking estimate.</x:t>
        </x:is>
      </x:c>
    </x:row>
    <x:row r="44">
      <x:c r="A44" s="2" t="n">
        <x:v>38</x:v>
      </x:c>
      <x:c r="B44" s="16" t="inlineStr">
        <x:is>
          <x:t xml:space="preserve">Revenue Engine</x:t>
        </x:is>
      </x:c>
      <x:c r="C44" s="16" t="inlineStr">
        <x:is>
          <x:t xml:space="preserve">Total per-cap spend (F&amp;B + merch)</x:t>
        </x:is>
      </x:c>
      <x:c r="D44" s="16" t="inlineStr">
        <x:is>
          <x:t xml:space="preserve">$</x:t>
        </x:is>
      </x:c>
      <x:c r="E44" s="80">
        <x:f>E35+E38</x:f>
        <x:v>16.6</x:v>
      </x:c>
      <x:c r="F44" s="80">
        <x:f>F35+F38</x:f>
        <x:v>17.2</x:v>
      </x:c>
      <x:c r="G44" s="80">
        <x:f>G35+G38</x:f>
        <x:v>18</x:v>
      </x:c>
      <x:c r="H44" s="80">
        <x:f>H35+H38</x:f>
        <x:v>19</x:v>
      </x:c>
      <x:c r="I44" s="80">
        <x:f>I35+I38</x:f>
        <x:v>20</x:v>
      </x:c>
      <x:c r="J44" s="80">
        <x:f>J35+J38</x:f>
        <x:v>20.7</x:v>
      </x:c>
      <x:c r="K44" s="16" t="inlineStr">
        <x:is>
          <x:t xml:space="preserve">Derived</x:t>
        </x:is>
      </x:c>
      <x:c r="L44" s="16" t="inlineStr">
        <x:is>
          <x:t xml:space="preserve">Low</x:t>
        </x:is>
      </x:c>
      <x:c r="M44" s="16" t="inlineStr">
        <x:is>
          <x:t xml:space="preserve">F&amp;B per-cap + merch per-cap</x:t>
        </x:is>
      </x:c>
      <x:c r="N44" s="36" t="inlineStr">
        <x:is>
          <x:t xml:space="preserve">Gross fan spend indicator.</x:t>
        </x:is>
      </x:c>
    </x:row>
    <x:row r="45">
      <x:c r="A45" s="2" t="n">
        <x:v>39</x:v>
      </x:c>
      <x:c r="B45" s="16" t="inlineStr">
        <x:is>
          <x:t xml:space="preserve">Revenue Engine</x:t>
        </x:is>
      </x:c>
      <x:c r="C45" s="16" t="inlineStr">
        <x:is>
          <x:t xml:space="preserve">Total sponsorship revenue</x:t>
        </x:is>
      </x:c>
      <x:c r="D45" s="16" t="inlineStr">
        <x:is>
          <x:t xml:space="preserve">$</x:t>
        </x:is>
      </x:c>
      <x:c r="E45" s="79">
        <x:f>Assumptions!C43</x:f>
        <x:v>1950000</x:v>
      </x:c>
      <x:c r="F45" s="79">
        <x:f>Assumptions!D43</x:f>
        <x:v>2000000</x:v>
      </x:c>
      <x:c r="G45" s="79">
        <x:f>Assumptions!E43</x:f>
        <x:v>2200000</x:v>
      </x:c>
      <x:c r="H45" s="79">
        <x:f>Assumptions!F43</x:f>
        <x:v>2450000</x:v>
      </x:c>
      <x:c r="I45" s="79">
        <x:f>Assumptions!G43</x:f>
        <x:v>2700000</x:v>
      </x:c>
      <x:c r="J45" s="79">
        <x:f>Assumptions!H43</x:f>
        <x:v>2951100</x:v>
      </x:c>
      <x:c r="K45" s="16" t="inlineStr">
        <x:is>
          <x:t xml:space="preserve">Estimate / projection</x:t>
        </x:is>
      </x:c>
      <x:c r="L45" s="16" t="inlineStr">
        <x:is>
          <x:t xml:space="preserve">Low</x:t>
        </x:is>
      </x:c>
      <x:c r="M45" s="16" t="inlineStr">
        <x:is>
          <x:t xml:space="preserve">Model methodology</x:t>
        </x:is>
      </x:c>
      <x:c r="N45" s="36" t="inlineStr">
        <x:is>
          <x:t xml:space="preserve">Total sponsorship / partner inventory revenue.</x:t>
        </x:is>
      </x:c>
    </x:row>
    <x:row r="46">
      <x:c r="A46" s="2" t="n">
        <x:v>40</x:v>
      </x:c>
      <x:c r="B46" s="16" t="inlineStr">
        <x:is>
          <x:t xml:space="preserve">Revenue Engine</x:t>
        </x:is>
      </x:c>
      <x:c r="C46" s="16" t="inlineStr">
        <x:is>
          <x:t xml:space="preserve">Title partner value</x:t>
        </x:is>
      </x:c>
      <x:c r="D46" s="16" t="inlineStr">
        <x:is>
          <x:t xml:space="preserve">$</x:t>
        </x:is>
      </x:c>
      <x:c r="E46" s="79">
        <x:f>Assumptions!C44</x:f>
        <x:v>450000</x:v>
      </x:c>
      <x:c r="F46" s="79">
        <x:f>Assumptions!D44</x:f>
        <x:v>450000</x:v>
      </x:c>
      <x:c r="G46" s="79">
        <x:f>Assumptions!E44</x:f>
        <x:v>480000</x:v>
      </x:c>
      <x:c r="H46" s="79">
        <x:f>Assumptions!F44</x:f>
        <x:v>500000</x:v>
      </x:c>
      <x:c r="I46" s="79">
        <x:f>Assumptions!G44</x:f>
        <x:v>550000</x:v>
      </x:c>
      <x:c r="J46" s="79">
        <x:f>Assumptions!H44</x:f>
        <x:v>580000</x:v>
      </x:c>
      <x:c r="K46" s="16" t="inlineStr">
        <x:is>
          <x:t xml:space="preserve">Estimate</x:t>
        </x:is>
      </x:c>
      <x:c r="L46" s="16" t="inlineStr">
        <x:is>
          <x:t xml:space="preserve">Low</x:t>
        </x:is>
      </x:c>
      <x:c r="M46" s="16" t="inlineStr">
        <x:is>
          <x:t xml:space="preserve">Model methodology</x:t>
        </x:is>
      </x:c>
      <x:c r="N46" s="36" t="inlineStr">
        <x:is>
          <x:t xml:space="preserve">Subcomponent of sponsorship total.</x:t>
        </x:is>
      </x:c>
    </x:row>
    <x:row r="47">
      <x:c r="A47" s="2" t="n">
        <x:v>41</x:v>
      </x:c>
      <x:c r="B47" s="16" t="inlineStr">
        <x:is>
          <x:t xml:space="preserve">Revenue Engine</x:t>
        </x:is>
      </x:c>
      <x:c r="C47" s="16" t="inlineStr">
        <x:is>
          <x:t xml:space="preserve">Jersey / patch revenue</x:t>
        </x:is>
      </x:c>
      <x:c r="D47" s="16" t="inlineStr">
        <x:is>
          <x:t xml:space="preserve">$</x:t>
        </x:is>
      </x:c>
      <x:c r="E47" s="79">
        <x:f>Assumptions!C45</x:f>
        <x:v>0</x:v>
      </x:c>
      <x:c r="F47" s="79">
        <x:f>Assumptions!D45</x:f>
        <x:v>0</x:v>
      </x:c>
      <x:c r="G47" s="79">
        <x:f>Assumptions!E45</x:f>
        <x:v>150000</x:v>
      </x:c>
      <x:c r="H47" s="79">
        <x:f>Assumptions!F45</x:f>
        <x:v>180000</x:v>
      </x:c>
      <x:c r="I47" s="79">
        <x:f>Assumptions!G45</x:f>
        <x:v>200000</x:v>
      </x:c>
      <x:c r="J47" s="79">
        <x:f>Assumptions!H45</x:f>
        <x:v>220000</x:v>
      </x:c>
      <x:c r="K47" s="16" t="inlineStr">
        <x:is>
          <x:t xml:space="preserve">Estimate</x:t>
        </x:is>
      </x:c>
      <x:c r="L47" s="16" t="inlineStr">
        <x:is>
          <x:t xml:space="preserve">Low</x:t>
        </x:is>
      </x:c>
      <x:c r="M47" s="16" t="inlineStr">
        <x:is>
          <x:t xml:space="preserve">Model methodology</x:t>
        </x:is>
      </x:c>
      <x:c r="N47" s="36" t="inlineStr">
        <x:is>
          <x:t xml:space="preserve">Subcomponent of sponsorship total.</x:t>
        </x:is>
      </x:c>
    </x:row>
    <x:row r="48">
      <x:c r="A48" s="2" t="n">
        <x:v>42</x:v>
      </x:c>
      <x:c r="B48" s="16" t="inlineStr">
        <x:is>
          <x:t xml:space="preserve">Revenue Engine</x:t>
        </x:is>
      </x:c>
      <x:c r="C48" s="16" t="inlineStr">
        <x:is>
          <x:t xml:space="preserve">Digital inventory yield</x:t>
        </x:is>
      </x:c>
      <x:c r="D48" s="16" t="inlineStr">
        <x:is>
          <x:t xml:space="preserve">$</x:t>
        </x:is>
      </x:c>
      <x:c r="E48" s="79">
        <x:f>Assumptions!C46</x:f>
        <x:v>80000</x:v>
      </x:c>
      <x:c r="F48" s="79">
        <x:f>Assumptions!D46</x:f>
        <x:v>90000</x:v>
      </x:c>
      <x:c r="G48" s="79">
        <x:f>Assumptions!E46</x:f>
        <x:v>110000</x:v>
      </x:c>
      <x:c r="H48" s="79">
        <x:f>Assumptions!F46</x:f>
        <x:v>130000</x:v>
      </x:c>
      <x:c r="I48" s="79">
        <x:f>Assumptions!G46</x:f>
        <x:v>150000</x:v>
      </x:c>
      <x:c r="J48" s="79">
        <x:f>Assumptions!H46</x:f>
        <x:v>165000</x:v>
      </x:c>
      <x:c r="K48" s="16" t="inlineStr">
        <x:is>
          <x:t xml:space="preserve">Estimate</x:t>
        </x:is>
      </x:c>
      <x:c r="L48" s="16" t="inlineStr">
        <x:is>
          <x:t xml:space="preserve">Low</x:t>
        </x:is>
      </x:c>
      <x:c r="M48" s="16" t="inlineStr">
        <x:is>
          <x:t xml:space="preserve">Model methodology</x:t>
        </x:is>
      </x:c>
      <x:c r="N48" s="36" t="inlineStr">
        <x:is>
          <x:t xml:space="preserve">Subcomponent of sponsorship total.</x:t>
        </x:is>
      </x:c>
    </x:row>
    <x:row r="49">
      <x:c r="A49" s="2" t="n">
        <x:v>43</x:v>
      </x:c>
      <x:c r="B49" s="16" t="inlineStr">
        <x:is>
          <x:t xml:space="preserve">Revenue Engine</x:t>
        </x:is>
      </x:c>
      <x:c r="C49" s="16" t="inlineStr">
        <x:is>
          <x:t xml:space="preserve">Other sponsorship revenue</x:t>
        </x:is>
      </x:c>
      <x:c r="D49" s="16" t="inlineStr">
        <x:is>
          <x:t xml:space="preserve">$</x:t>
        </x:is>
      </x:c>
      <x:c r="E49" s="80">
        <x:f>E45-E46-E47-E48</x:f>
        <x:v>1420000</x:v>
      </x:c>
      <x:c r="F49" s="80">
        <x:f>F45-F46-F47-F48</x:f>
        <x:v>1460000</x:v>
      </x:c>
      <x:c r="G49" s="80">
        <x:f>G45-G46-G47-G48</x:f>
        <x:v>1460000</x:v>
      </x:c>
      <x:c r="H49" s="80">
        <x:f>H45-H46-H47-H48</x:f>
        <x:v>1640000</x:v>
      </x:c>
      <x:c r="I49" s="80">
        <x:f>I45-I46-I47-I48</x:f>
        <x:v>1800000</x:v>
      </x:c>
      <x:c r="J49" s="80">
        <x:f>J45-J46-J47-J48</x:f>
        <x:v>1986100</x:v>
      </x:c>
      <x:c r="K49" s="16" t="inlineStr">
        <x:is>
          <x:t xml:space="preserve">Derived</x:t>
        </x:is>
      </x:c>
      <x:c r="L49" s="16" t="inlineStr">
        <x:is>
          <x:t xml:space="preserve">Low</x:t>
        </x:is>
      </x:c>
      <x:c r="M49" s="16" t="inlineStr">
        <x:is>
          <x:t xml:space="preserve">Residual sponsorship value</x:t>
        </x:is>
      </x:c>
      <x:c r="N49" s="36" t="inlineStr">
        <x:is>
          <x:t xml:space="preserve">Total sponsorship less title, patch, and digital subcomponents.</x:t>
        </x:is>
      </x:c>
    </x:row>
    <x:row r="50">
      <x:c r="A50" s="2" t="n">
        <x:v>44</x:v>
      </x:c>
      <x:c r="B50" s="16" t="inlineStr">
        <x:is>
          <x:t xml:space="preserve">Revenue Engine</x:t>
        </x:is>
      </x:c>
      <x:c r="C50" s="16" t="inlineStr">
        <x:is>
          <x:t xml:space="preserve">Broadcast / streaming value</x:t>
        </x:is>
      </x:c>
      <x:c r="D50" s="16" t="inlineStr">
        <x:is>
          <x:t xml:space="preserve">$</x:t>
        </x:is>
      </x:c>
      <x:c r="E50" s="79">
        <x:f>Assumptions!C47</x:f>
        <x:v>150000</x:v>
      </x:c>
      <x:c r="F50" s="79">
        <x:f>Assumptions!D47</x:f>
        <x:v>100000</x:v>
      </x:c>
      <x:c r="G50" s="79">
        <x:f>Assumptions!E47</x:f>
        <x:v>100000</x:v>
      </x:c>
      <x:c r="H50" s="79">
        <x:f>Assumptions!F47</x:f>
        <x:v>110000</x:v>
      </x:c>
      <x:c r="I50" s="79">
        <x:f>Assumptions!G47</x:f>
        <x:v>130000</x:v>
      </x:c>
      <x:c r="J50" s="79">
        <x:f>Assumptions!H47</x:f>
        <x:v>145000</x:v>
      </x:c>
      <x:c r="K50" s="16" t="inlineStr">
        <x:is>
          <x:t xml:space="preserve">Estimate</x:t>
        </x:is>
      </x:c>
      <x:c r="L50" s="16" t="inlineStr">
        <x:is>
          <x:t xml:space="preserve">Low</x:t>
        </x:is>
      </x:c>
      <x:c r="M50" s="16" t="inlineStr">
        <x:is>
          <x:t xml:space="preserve">AHL/FloHockey + local TV context</x:t>
        </x:is>
      </x:c>
      <x:c r="N50" s="36" t="inlineStr">
        <x:is>
          <x:t xml:space="preserve">Modeled media value.</x:t>
        </x:is>
      </x:c>
    </x:row>
    <x:row r="51">
      <x:c r="A51" s="2" t="n">
        <x:v>45</x:v>
      </x:c>
      <x:c r="B51" s="16" t="inlineStr">
        <x:is>
          <x:t xml:space="preserve">Revenue Engine</x:t>
        </x:is>
      </x:c>
      <x:c r="C51" s="16" t="inlineStr">
        <x:is>
          <x:t xml:space="preserve">Youth hockey / camp revenue</x:t>
        </x:is>
      </x:c>
      <x:c r="D51" s="16" t="inlineStr">
        <x:is>
          <x:t xml:space="preserve">$</x:t>
        </x:is>
      </x:c>
      <x:c r="E51" s="79">
        <x:f>Assumptions!C80</x:f>
        <x:v>80000</x:v>
      </x:c>
      <x:c r="F51" s="79">
        <x:f>Assumptions!D80</x:f>
        <x:v>90000</x:v>
      </x:c>
      <x:c r="G51" s="79">
        <x:f>Assumptions!E80</x:f>
        <x:v>100000</x:v>
      </x:c>
      <x:c r="H51" s="79">
        <x:f>Assumptions!F80</x:f>
        <x:v>120000</x:v>
      </x:c>
      <x:c r="I51" s="79">
        <x:f>Assumptions!G80</x:f>
        <x:v>140000</x:v>
      </x:c>
      <x:c r="J51" s="79">
        <x:f>Assumptions!H80</x:f>
        <x:v>160000</x:v>
      </x:c>
      <x:c r="K51" s="16" t="inlineStr">
        <x:is>
          <x:t xml:space="preserve">Estimate</x:t>
        </x:is>
      </x:c>
      <x:c r="L51" s="16" t="inlineStr">
        <x:is>
          <x:t xml:space="preserve">Low</x:t>
        </x:is>
      </x:c>
      <x:c r="M51" s="16" t="inlineStr">
        <x:is>
          <x:t xml:space="preserve">Model methodology</x:t>
        </x:is>
      </x:c>
      <x:c r="N51" s="36" t="inlineStr">
        <x:is>
          <x:t xml:space="preserve">Direct ecosystem youth / camp estimate.</x:t>
        </x:is>
      </x:c>
    </x:row>
    <x:row r="52">
      <x:c r="A52" s="40" t="n">
        <x:v>46</x:v>
      </x:c>
      <x:c r="B52" s="41" t="inlineStr">
        <x:is>
          <x:t xml:space="preserve">Revenue Engine</x:t>
        </x:is>
      </x:c>
      <x:c r="C52" s="42" t="inlineStr">
        <x:is>
          <x:t xml:space="preserve">Gross annual revenue</x:t>
        </x:is>
      </x:c>
      <x:c r="D52" s="41" t="inlineStr">
        <x:is>
          <x:t xml:space="preserve">$</x:t>
        </x:is>
      </x:c>
      <x:c r="E52" s="82">
        <x:f>E31+E37+E39+E43+E45+E50+E51</x:f>
        <x:v>8458030.744615383</x:v>
      </x:c>
      <x:c r="F52" s="82">
        <x:f>F31+F37+F39+F43+F45+F50+F51</x:f>
        <x:v>8954438.91876923</x:v>
      </x:c>
      <x:c r="G52" s="82">
        <x:f>G31+G37+G39+G43+G45+G50+G51</x:f>
        <x:v>9771831.516923077</x:v>
      </x:c>
      <x:c r="H52" s="82">
        <x:f>H31+H37+H39+H43+H45+H50+H51</x:f>
        <x:v>10405838.464</x:v>
      </x:c>
      <x:c r="I52" s="82">
        <x:f>I31+I37+I39+I43+I45+I50+I51</x:f>
        <x:v>11210427.36</x:v>
      </x:c>
      <x:c r="J52" s="82">
        <x:f>J31+J37+J39+J43+J45+J50+J51</x:f>
        <x:v>12031865</x:v>
      </x:c>
      <x:c r="K52" s="41" t="inlineStr">
        <x:is>
          <x:t xml:space="preserve">Derived</x:t>
        </x:is>
      </x:c>
      <x:c r="L52" s="41" t="inlineStr">
        <x:is>
          <x:t xml:space="preserve">Medium</x:t>
        </x:is>
      </x:c>
      <x:c r="M52" s="41" t="inlineStr">
        <x:is>
          <x:t xml:space="preserve">Gate + commission + merch + parking + sponsorship + media + youth</x:t>
        </x:is>
      </x:c>
      <x:c r="N52" s="44" t="inlineStr">
        <x:is>
          <x:t xml:space="preserve">Excludes NHL parent subsidy to preserve stand-alone club revenue view.</x:t>
        </x:is>
      </x:c>
    </x:row>
    <x:row r="53">
      <x:c r="A53" s="2" t="n">
        <x:v>47</x:v>
      </x:c>
      <x:c r="B53" s="16" t="inlineStr">
        <x:is>
          <x:t xml:space="preserve">Revenue Engine</x:t>
        </x:is>
      </x:c>
      <x:c r="C53" s="16" t="inlineStr">
        <x:is>
          <x:t xml:space="preserve">NHL parent subsidy</x:t>
        </x:is>
      </x:c>
      <x:c r="D53" s="16" t="inlineStr">
        <x:is>
          <x:t xml:space="preserve">$</x:t>
        </x:is>
      </x:c>
      <x:c r="E53" s="79">
        <x:f>Assumptions!C79</x:f>
        <x:v>4200000</x:v>
      </x:c>
      <x:c r="F53" s="79">
        <x:f>Assumptions!D79</x:f>
        <x:v>4300000</x:v>
      </x:c>
      <x:c r="G53" s="79">
        <x:f>Assumptions!E79</x:f>
        <x:v>4400000</x:v>
      </x:c>
      <x:c r="H53" s="79">
        <x:f>Assumptions!F79</x:f>
        <x:v>4500000</x:v>
      </x:c>
      <x:c r="I53" s="79">
        <x:f>Assumptions!G79</x:f>
        <x:v>4700000</x:v>
      </x:c>
      <x:c r="J53" s="79">
        <x:f>Assumptions!H79</x:f>
        <x:v>4900000</x:v>
      </x:c>
      <x:c r="K53" s="16" t="inlineStr">
        <x:is>
          <x:t xml:space="preserve">Estimate</x:t>
        </x:is>
      </x:c>
      <x:c r="L53" s="16" t="inlineStr">
        <x:is>
          <x:t xml:space="preserve">Low</x:t>
        </x:is>
      </x:c>
      <x:c r="M53" s="16" t="inlineStr">
        <x:is>
          <x:t xml:space="preserve">Model methodology</x:t>
        </x:is>
      </x:c>
      <x:c r="N53" s="36" t="inlineStr">
        <x:is>
          <x:t xml:space="preserve">Anaheim Ducks affiliate support estimate.</x:t>
        </x:is>
      </x:c>
    </x:row>
    <x:row r="54">
      <x:c r="A54" s="2" t="n">
        <x:v>48</x:v>
      </x:c>
      <x:c r="B54" s="16" t="inlineStr">
        <x:is>
          <x:t xml:space="preserve">Revenue Engine</x:t>
        </x:is>
      </x:c>
      <x:c r="C54" s="16" t="inlineStr">
        <x:is>
          <x:t xml:space="preserve">Operating resources incl. parent support</x:t>
        </x:is>
      </x:c>
      <x:c r="D54" s="16" t="inlineStr">
        <x:is>
          <x:t xml:space="preserve">$</x:t>
        </x:is>
      </x:c>
      <x:c r="E54" s="80">
        <x:f>E52+E53</x:f>
        <x:v>12658030.744615383</x:v>
      </x:c>
      <x:c r="F54" s="80">
        <x:f>F52+F53</x:f>
        <x:v>13254438.91876923</x:v>
      </x:c>
      <x:c r="G54" s="80">
        <x:f>G52+G53</x:f>
        <x:v>14171831.516923077</x:v>
      </x:c>
      <x:c r="H54" s="80">
        <x:f>H52+H53</x:f>
        <x:v>14905838.464</x:v>
      </x:c>
      <x:c r="I54" s="80">
        <x:f>I52+I53</x:f>
        <x:v>15910427.36</x:v>
      </x:c>
      <x:c r="J54" s="80">
        <x:f>J52+J53</x:f>
        <x:v>16931865</x:v>
      </x:c>
      <x:c r="K54" s="16" t="inlineStr">
        <x:is>
          <x:t xml:space="preserve">Derived</x:t>
        </x:is>
      </x:c>
      <x:c r="L54" s="16" t="inlineStr">
        <x:is>
          <x:t xml:space="preserve">Low</x:t>
        </x:is>
      </x:c>
      <x:c r="M54" s="16" t="inlineStr">
        <x:is>
          <x:t xml:space="preserve">Gross revenue + parent subsidy</x:t>
        </x:is>
      </x:c>
      <x:c r="N54" s="36" t="inlineStr">
        <x:is>
          <x:t xml:space="preserve">Useful for full operating-scale context.</x:t>
        </x:is>
      </x:c>
    </x:row>
    <x:row r="55">
      <x:c r="A55" s="34" t="inlineStr">
        <x:is>
          <x:t xml:space="preserve">3. Arena, Municipal &amp; Venue Footprint</x:t>
        </x:is>
      </x:c>
    </x:row>
    <x:row r="56">
      <x:c r="A56" s="2" t="n">
        <x:v>49</x:v>
      </x:c>
      <x:c r="B56" s="16" t="inlineStr">
        <x:is>
          <x:t xml:space="preserve">Arena / Municipal</x:t>
        </x:is>
      </x:c>
      <x:c r="C56" s="16" t="inlineStr">
        <x:is>
          <x:t xml:space="preserve">Hockey seating capacity</x:t>
        </x:is>
      </x:c>
      <x:c r="D56" s="16" t="inlineStr">
        <x:is>
          <x:t xml:space="preserve">seats</x:t>
        </x:is>
      </x:c>
      <x:c r="E56" s="78">
        <x:f>Assumptions!C15</x:f>
        <x:v>12920</x:v>
      </x:c>
      <x:c r="F56" s="78">
        <x:f>Assumptions!D15</x:f>
        <x:v>12920</x:v>
      </x:c>
      <x:c r="G56" s="78">
        <x:f>Assumptions!E15</x:f>
        <x:v>12920</x:v>
      </x:c>
      <x:c r="H56" s="78">
        <x:f>Assumptions!F15</x:f>
        <x:v>12920</x:v>
      </x:c>
      <x:c r="I56" s="78">
        <x:f>Assumptions!G15</x:f>
        <x:v>12920</x:v>
      </x:c>
      <x:c r="J56" s="78">
        <x:f>Assumptions!H15</x:f>
        <x:v>12920</x:v>
      </x:c>
      <x:c r="K56" s="16" t="inlineStr">
        <x:is>
          <x:t xml:space="preserve">Context</x:t>
        </x:is>
      </x:c>
      <x:c r="L56" s="16" t="inlineStr">
        <x:is>
          <x:t xml:space="preserve">Medium</x:t>
        </x:is>
      </x:c>
      <x:c r="M56" s="16" t="inlineStr">
        <x:is>
          <x:t xml:space="preserve">Official media guide</x:t>
        </x:is>
      </x:c>
      <x:c r="N56" s="36" t="inlineStr">
        <x:is>
          <x:t xml:space="preserve">Capacity used in RevPAS.</x:t>
        </x:is>
      </x:c>
    </x:row>
    <x:row r="57">
      <x:c r="A57" s="2" t="n">
        <x:v>50</x:v>
      </x:c>
      <x:c r="B57" s="16" t="inlineStr">
        <x:is>
          <x:t xml:space="preserve">Arena / Municipal</x:t>
        </x:is>
      </x:c>
      <x:c r="C57" s="16" t="inlineStr">
        <x:is>
          <x:t xml:space="preserve">General venue capacity</x:t>
        </x:is>
      </x:c>
      <x:c r="D57" s="16" t="inlineStr">
        <x:is>
          <x:t xml:space="preserve">seats</x:t>
        </x:is>
      </x:c>
      <x:c r="E57" s="78">
        <x:f>Assumptions!C16</x:f>
        <x:v>14000</x:v>
      </x:c>
      <x:c r="F57" s="78">
        <x:f>Assumptions!D16</x:f>
        <x:v>14000</x:v>
      </x:c>
      <x:c r="G57" s="78">
        <x:f>Assumptions!E16</x:f>
        <x:v>14000</x:v>
      </x:c>
      <x:c r="H57" s="78">
        <x:f>Assumptions!F16</x:f>
        <x:v>14000</x:v>
      </x:c>
      <x:c r="I57" s="78">
        <x:f>Assumptions!G16</x:f>
        <x:v>14000</x:v>
      </x:c>
      <x:c r="J57" s="78">
        <x:f>Assumptions!H16</x:f>
        <x:v>14000</x:v>
      </x:c>
      <x:c r="K57" s="16" t="inlineStr">
        <x:is>
          <x:t xml:space="preserve">Public</x:t>
        </x:is>
      </x:c>
      <x:c r="L57" s="16" t="inlineStr">
        <x:is>
          <x:t xml:space="preserve">High</x:t>
        </x:is>
      </x:c>
      <x:c r="M57" s="16" t="inlineStr">
        <x:is>
          <x:t xml:space="preserve">Official venue page</x:t>
        </x:is>
      </x:c>
      <x:c r="N57" s="36" t="inlineStr">
        <x:is>
          <x:t xml:space="preserve">Current listed arena capacity.</x:t>
        </x:is>
      </x:c>
    </x:row>
    <x:row r="58">
      <x:c r="A58" s="2" t="n">
        <x:v>51</x:v>
      </x:c>
      <x:c r="B58" s="16" t="inlineStr">
        <x:is>
          <x:t xml:space="preserve">Arena / Municipal</x:t>
        </x:is>
      </x:c>
      <x:c r="C58" s="16" t="inlineStr">
        <x:is>
          <x:t xml:space="preserve">Base rent floor (annualized)</x:t>
        </x:is>
      </x:c>
      <x:c r="D58" s="16" t="inlineStr">
        <x:is>
          <x:t xml:space="preserve">$</x:t>
        </x:is>
      </x:c>
      <x:c r="E58" s="79">
        <x:f>Assumptions!C58</x:f>
        <x:v>0</x:v>
      </x:c>
      <x:c r="F58" s="79">
        <x:f>Assumptions!D58</x:f>
        <x:v>0</x:v>
      </x:c>
      <x:c r="G58" s="79">
        <x:f>Assumptions!E58</x:f>
        <x:v>775716</x:v>
      </x:c>
      <x:c r="H58" s="79">
        <x:f>Assumptions!F58</x:f>
        <x:v>799107</x:v>
      </x:c>
      <x:c r="I58" s="79">
        <x:f>Assumptions!G58</x:f>
        <x:v>823084</x:v>
      </x:c>
      <x:c r="J58" s="79">
        <x:f>Assumptions!H58</x:f>
        <x:v>839546</x:v>
      </x:c>
      <x:c r="K58" s="16" t="inlineStr">
        <x:is>
          <x:t xml:space="preserve">Public / projection</x:t>
        </x:is>
      </x:c>
      <x:c r="L58" s="16" t="inlineStr">
        <x:is>
          <x:t xml:space="preserve">Medium</x:t>
        </x:is>
      </x:c>
      <x:c r="M58" s="16" t="inlineStr">
        <x:is>
          <x:t xml:space="preserve">Arena lease reporting</x:t>
        </x:is>
      </x:c>
      <x:c r="N58" s="36" t="inlineStr">
        <x:is>
          <x:t xml:space="preserve">Arena-operator level, not disclosed team sublease.</x:t>
        </x:is>
      </x:c>
    </x:row>
    <x:row r="59">
      <x:c r="A59" s="2" t="n">
        <x:v>52</x:v>
      </x:c>
      <x:c r="B59" s="16" t="inlineStr">
        <x:is>
          <x:t xml:space="preserve">Arena / Municipal</x:t>
        </x:is>
      </x:c>
      <x:c r="C59" s="16" t="inlineStr">
        <x:is>
          <x:t xml:space="preserve">Rent escalator</x:t>
        </x:is>
      </x:c>
      <x:c r="D59" s="16" t="inlineStr">
        <x:is>
          <x:t xml:space="preserve">pct</x:t>
        </x:is>
      </x:c>
      <x:c r="E59" s="81">
        <x:f>Assumptions!C59</x:f>
        <x:v>0</x:v>
      </x:c>
      <x:c r="F59" s="81">
        <x:f>Assumptions!D59</x:f>
        <x:v>0</x:v>
      </x:c>
      <x:c r="G59" s="81">
        <x:f>Assumptions!E59</x:f>
        <x:v>0</x:v>
      </x:c>
      <x:c r="H59" s="81">
        <x:f>Assumptions!F59</x:f>
        <x:v>0.03</x:v>
      </x:c>
      <x:c r="I59" s="81">
        <x:f>Assumptions!G59</x:f>
        <x:v>0.03</x:v>
      </x:c>
      <x:c r="J59" s="81">
        <x:f>Assumptions!H59</x:f>
        <x:v>0.02</x:v>
      </x:c>
      <x:c r="K59" s="16" t="inlineStr">
        <x:is>
          <x:t xml:space="preserve">Derived / projection</x:t>
        </x:is>
      </x:c>
      <x:c r="L59" s="16" t="inlineStr">
        <x:is>
          <x:t xml:space="preserve">Medium</x:t>
        </x:is>
      </x:c>
      <x:c r="M59" s="16" t="inlineStr">
        <x:is>
          <x:t xml:space="preserve">Lease floor progression</x:t>
        </x:is>
      </x:c>
      <x:c r="N59" s="36" t="inlineStr">
        <x:is>
          <x:t xml:space="preserve">Derived from public operator-level rent floor.</x:t>
        </x:is>
      </x:c>
    </x:row>
    <x:row r="60">
      <x:c r="A60" s="2" t="n">
        <x:v>53</x:v>
      </x:c>
      <x:c r="B60" s="16" t="inlineStr">
        <x:is>
          <x:t xml:space="preserve">Arena / Municipal</x:t>
        </x:is>
      </x:c>
      <x:c r="C60" s="16" t="inlineStr">
        <x:is>
          <x:t xml:space="preserve">Security / police overhead per event</x:t>
        </x:is>
      </x:c>
      <x:c r="D60" s="16" t="inlineStr">
        <x:is>
          <x:t xml:space="preserve">$</x:t>
        </x:is>
      </x:c>
      <x:c r="E60" s="79">
        <x:f>Assumptions!C60</x:f>
        <x:v>12000</x:v>
      </x:c>
      <x:c r="F60" s="79">
        <x:f>Assumptions!D60</x:f>
        <x:v>12000</x:v>
      </x:c>
      <x:c r="G60" s="79">
        <x:f>Assumptions!E60</x:f>
        <x:v>13000</x:v>
      </x:c>
      <x:c r="H60" s="79">
        <x:f>Assumptions!F60</x:f>
        <x:v>14000</x:v>
      </x:c>
      <x:c r="I60" s="79">
        <x:f>Assumptions!G60</x:f>
        <x:v>15000</x:v>
      </x:c>
      <x:c r="J60" s="79">
        <x:f>Assumptions!H60</x:f>
        <x:v>15500</x:v>
      </x:c>
      <x:c r="K60" s="16" t="inlineStr">
        <x:is>
          <x:t xml:space="preserve">Estimate</x:t>
        </x:is>
      </x:c>
      <x:c r="L60" s="16" t="inlineStr">
        <x:is>
          <x:t xml:space="preserve">Low</x:t>
        </x:is>
      </x:c>
      <x:c r="M60" s="16" t="inlineStr">
        <x:is>
          <x:t xml:space="preserve">City event policing framework</x:t>
        </x:is>
      </x:c>
      <x:c r="N60" s="36" t="inlineStr">
        <x:is>
          <x:t xml:space="preserve">Event cost estimate.</x:t>
        </x:is>
      </x:c>
    </x:row>
    <x:row r="61">
      <x:c r="A61" s="2" t="n">
        <x:v>54</x:v>
      </x:c>
      <x:c r="B61" s="16" t="inlineStr">
        <x:is>
          <x:t xml:space="preserve">Arena / Municipal</x:t>
        </x:is>
      </x:c>
      <x:c r="C61" s="16" t="inlineStr">
        <x:is>
          <x:t xml:space="preserve">Security / police overhead (annual)</x:t>
        </x:is>
      </x:c>
      <x:c r="D61" s="16" t="inlineStr">
        <x:is>
          <x:t xml:space="preserve">$</x:t>
        </x:is>
      </x:c>
      <x:c r="E61" s="80">
        <x:f>E60*E7</x:f>
        <x:v>408000</x:v>
      </x:c>
      <x:c r="F61" s="80">
        <x:f>F60*F7</x:f>
        <x:v>432000</x:v>
      </x:c>
      <x:c r="G61" s="80">
        <x:f>G60*G7</x:f>
        <x:v>468000</x:v>
      </x:c>
      <x:c r="H61" s="80">
        <x:f>H60*H7</x:f>
        <x:v>504000</x:v>
      </x:c>
      <x:c r="I61" s="80">
        <x:f>I60*I7</x:f>
        <x:v>540000</x:v>
      </x:c>
      <x:c r="J61" s="80">
        <x:f>J60*J7</x:f>
        <x:v>558000</x:v>
      </x:c>
      <x:c r="K61" s="16" t="inlineStr">
        <x:is>
          <x:t xml:space="preserve">Derived</x:t>
        </x:is>
      </x:c>
      <x:c r="L61" s="16" t="inlineStr">
        <x:is>
          <x:t xml:space="preserve">Low</x:t>
        </x:is>
      </x:c>
      <x:c r="M61" s="16" t="inlineStr">
        <x:is>
          <x:t xml:space="preserve">Per-event security × home games</x:t>
        </x:is>
      </x:c>
      <x:c r="N61" s="36" t="inlineStr">
        <x:is>
          <x:t xml:space="preserve">Annualized event security cost.</x:t>
        </x:is>
      </x:c>
    </x:row>
    <x:row r="62">
      <x:c r="A62" s="2" t="n">
        <x:v>55</x:v>
      </x:c>
      <x:c r="B62" s="16" t="inlineStr">
        <x:is>
          <x:t xml:space="preserve">Arena / Municipal</x:t>
        </x:is>
      </x:c>
      <x:c r="C62" s="16" t="inlineStr">
        <x:is>
          <x:t xml:space="preserve">Utilities &amp; HVAC load</x:t>
        </x:is>
      </x:c>
      <x:c r="D62" s="16" t="inlineStr">
        <x:is>
          <x:t xml:space="preserve">$</x:t>
        </x:is>
      </x:c>
      <x:c r="E62" s="79">
        <x:f>Assumptions!C61</x:f>
        <x:v>180000</x:v>
      </x:c>
      <x:c r="F62" s="79">
        <x:f>Assumptions!D61</x:f>
        <x:v>190000</x:v>
      </x:c>
      <x:c r="G62" s="79">
        <x:f>Assumptions!E61</x:f>
        <x:v>210000</x:v>
      </x:c>
      <x:c r="H62" s="79">
        <x:f>Assumptions!F61</x:f>
        <x:v>230000</x:v>
      </x:c>
      <x:c r="I62" s="79">
        <x:f>Assumptions!G61</x:f>
        <x:v>250000</x:v>
      </x:c>
      <x:c r="J62" s="79">
        <x:f>Assumptions!H61</x:f>
        <x:v>260000</x:v>
      </x:c>
      <x:c r="K62" s="16" t="inlineStr">
        <x:is>
          <x:t xml:space="preserve">Estimate</x:t>
        </x:is>
      </x:c>
      <x:c r="L62" s="16" t="inlineStr">
        <x:is>
          <x:t xml:space="preserve">Low</x:t>
        </x:is>
      </x:c>
      <x:c r="M62" s="16" t="inlineStr">
        <x:is>
          <x:t xml:space="preserve">Model methodology</x:t>
        </x:is>
      </x:c>
      <x:c r="N62" s="36" t="inlineStr">
        <x:is>
          <x:t xml:space="preserve">Annualized utilities / ice / cooling.</x:t>
        </x:is>
      </x:c>
    </x:row>
    <x:row r="63">
      <x:c r="A63" s="2" t="n">
        <x:v>56</x:v>
      </x:c>
      <x:c r="B63" s="16" t="inlineStr">
        <x:is>
          <x:t xml:space="preserve">Arena / Municipal</x:t>
        </x:is>
      </x:c>
      <x:c r="C63" s="16" t="inlineStr">
        <x:is>
          <x:t xml:space="preserve">Load-in / load-out allocation</x:t>
        </x:is>
      </x:c>
      <x:c r="D63" s="16" t="inlineStr">
        <x:is>
          <x:t xml:space="preserve">$</x:t>
        </x:is>
      </x:c>
      <x:c r="E63" s="79">
        <x:f>Assumptions!C62</x:f>
        <x:v>80000</x:v>
      </x:c>
      <x:c r="F63" s="79">
        <x:f>Assumptions!D62</x:f>
        <x:v>85000</x:v>
      </x:c>
      <x:c r="G63" s="79">
        <x:f>Assumptions!E62</x:f>
        <x:v>90000</x:v>
      </x:c>
      <x:c r="H63" s="79">
        <x:f>Assumptions!F62</x:f>
        <x:v>95000</x:v>
      </x:c>
      <x:c r="I63" s="79">
        <x:f>Assumptions!G62</x:f>
        <x:v>100000</x:v>
      </x:c>
      <x:c r="J63" s="79">
        <x:f>Assumptions!H62</x:f>
        <x:v>105000</x:v>
      </x:c>
      <x:c r="K63" s="16" t="inlineStr">
        <x:is>
          <x:t xml:space="preserve">Estimate</x:t>
        </x:is>
      </x:c>
      <x:c r="L63" s="16" t="inlineStr">
        <x:is>
          <x:t xml:space="preserve">Low</x:t>
        </x:is>
      </x:c>
      <x:c r="M63" s="16" t="inlineStr">
        <x:is>
          <x:t xml:space="preserve">Model methodology</x:t>
        </x:is>
      </x:c>
      <x:c r="N63" s="36" t="inlineStr">
        <x:is>
          <x:t xml:space="preserve">Annualized mixed-use arena conversion allocation.</x:t>
        </x:is>
      </x:c>
    </x:row>
    <x:row r="64">
      <x:c r="A64" s="2" t="n">
        <x:v>57</x:v>
      </x:c>
      <x:c r="B64" s="16" t="inlineStr">
        <x:is>
          <x:t xml:space="preserve">Arena / Municipal</x:t>
        </x:is>
      </x:c>
      <x:c r="C64" s="16" t="inlineStr">
        <x:is>
          <x:t xml:space="preserve">Midway district assessment / CFD</x:t>
        </x:is>
      </x:c>
      <x:c r="D64" s="16" t="inlineStr">
        <x:is>
          <x:t xml:space="preserve">$</x:t>
        </x:is>
      </x:c>
      <x:c r="E64" s="79">
        <x:f>Assumptions!C63</x:f>
        <x:v>0</x:v>
      </x:c>
      <x:c r="F64" s="79">
        <x:f>Assumptions!D63</x:f>
        <x:v>0</x:v>
      </x:c>
      <x:c r="G64" s="79">
        <x:f>Assumptions!E63</x:f>
        <x:v>0</x:v>
      </x:c>
      <x:c r="H64" s="79">
        <x:f>Assumptions!F63</x:f>
        <x:v>0</x:v>
      </x:c>
      <x:c r="I64" s="79">
        <x:f>Assumptions!G63</x:f>
        <x:v>0</x:v>
      </x:c>
      <x:c r="J64" s="79">
        <x:f>Assumptions!H63</x:f>
        <x:v>0</x:v>
      </x:c>
      <x:c r="K64" s="16" t="inlineStr">
        <x:is>
          <x:t xml:space="preserve">Context</x:t>
        </x:is>
      </x:c>
      <x:c r="L64" s="16" t="inlineStr">
        <x:is>
          <x:t xml:space="preserve">Low</x:t>
        </x:is>
      </x:c>
      <x:c r="M64" s="16" t="inlineStr">
        <x:is>
          <x:t xml:space="preserve">Public review</x:t>
        </x:is>
      </x:c>
      <x:c r="N64" s="36" t="inlineStr">
        <x:is>
          <x:t xml:space="preserve">No public team-side assessment identified.</x:t>
        </x:is>
      </x:c>
    </x:row>
    <x:row r="65">
      <x:c r="A65" s="2" t="n">
        <x:v>58</x:v>
      </x:c>
      <x:c r="B65" s="16" t="inlineStr">
        <x:is>
          <x:t xml:space="preserve">Arena / Municipal</x:t>
        </x:is>
      </x:c>
      <x:c r="C65" s="16" t="inlineStr">
        <x:is>
          <x:t xml:space="preserve">Lease horizon (months remaining)</x:t>
        </x:is>
      </x:c>
      <x:c r="D65" s="16" t="inlineStr">
        <x:is>
          <x:t xml:space="preserve">months</x:t>
        </x:is>
      </x:c>
      <x:c r="E65" s="78">
        <x:f>Assumptions!C64</x:f>
        <x:v>0</x:v>
      </x:c>
      <x:c r="F65" s="78">
        <x:f>Assumptions!D64</x:f>
        <x:v>0</x:v>
      </x:c>
      <x:c r="G65" s="78">
        <x:f>Assumptions!E64</x:f>
        <x:v>29</x:v>
      </x:c>
      <x:c r="H65" s="78">
        <x:f>Assumptions!F64</x:f>
        <x:v>17</x:v>
      </x:c>
      <x:c r="I65" s="78">
        <x:f>Assumptions!G64</x:f>
        <x:v>5</x:v>
      </x:c>
      <x:c r="J65" s="78">
        <x:f>Assumptions!H64</x:f>
        <x:v>0</x:v>
      </x:c>
      <x:c r="K65" s="16" t="inlineStr">
        <x:is>
          <x:t xml:space="preserve">Estimate</x:t>
        </x:is>
      </x:c>
      <x:c r="L65" s="16" t="inlineStr">
        <x:is>
          <x:t xml:space="preserve">Low</x:t>
        </x:is>
      </x:c>
      <x:c r="M65" s="16" t="inlineStr">
        <x:is>
          <x:t xml:space="preserve">Midway Rising timeline</x:t>
        </x:is>
      </x:c>
      <x:c r="N65" s="36" t="inlineStr">
        <x:is>
          <x:t xml:space="preserve">Directional planning metric only.</x:t>
        </x:is>
      </x:c>
    </x:row>
    <x:row r="66">
      <x:c r="A66" s="2" t="n">
        <x:v>59</x:v>
      </x:c>
      <x:c r="B66" s="16" t="inlineStr">
        <x:is>
          <x:t xml:space="preserve">Arena / Municipal</x:t>
        </x:is>
      </x:c>
      <x:c r="C66" s="16" t="inlineStr">
        <x:is>
          <x:t xml:space="preserve">Naming-rights tranche allocable to team ops</x:t>
        </x:is>
      </x:c>
      <x:c r="D66" s="16" t="inlineStr">
        <x:is>
          <x:t xml:space="preserve">$</x:t>
        </x:is>
      </x:c>
      <x:c r="E66" s="79">
        <x:f>Assumptions!C65</x:f>
        <x:v>250000</x:v>
      </x:c>
      <x:c r="F66" s="79">
        <x:f>Assumptions!D65</x:f>
        <x:v>250000</x:v>
      </x:c>
      <x:c r="G66" s="79">
        <x:f>Assumptions!E65</x:f>
        <x:v>260000</x:v>
      </x:c>
      <x:c r="H66" s="79">
        <x:f>Assumptions!F65</x:f>
        <x:v>275000</x:v>
      </x:c>
      <x:c r="I66" s="79">
        <x:f>Assumptions!G65</x:f>
        <x:v>300000</x:v>
      </x:c>
      <x:c r="J66" s="79">
        <x:f>Assumptions!H65</x:f>
        <x:v>310000</x:v>
      </x:c>
      <x:c r="K66" s="16" t="inlineStr">
        <x:is>
          <x:t xml:space="preserve">Estimate</x:t>
        </x:is>
      </x:c>
      <x:c r="L66" s="16" t="inlineStr">
        <x:is>
          <x:t xml:space="preserve">Low</x:t>
        </x:is>
      </x:c>
      <x:c r="M66" s="16" t="inlineStr">
        <x:is>
          <x:t xml:space="preserve">Model methodology</x:t>
        </x:is>
      </x:c>
      <x:c r="N66" s="36" t="inlineStr">
        <x:is>
          <x:t xml:space="preserve">Logical annual value attributed to team ops.</x:t>
        </x:is>
      </x:c>
    </x:row>
    <x:row r="67">
      <x:c r="A67" s="2" t="n">
        <x:v>60</x:v>
      </x:c>
      <x:c r="B67" s="16" t="inlineStr">
        <x:is>
          <x:t xml:space="preserve">Arena / Municipal</x:t>
        </x:is>
      </x:c>
      <x:c r="C67" s="16" t="inlineStr">
        <x:is>
          <x:t xml:space="preserve">Tax liability</x:t>
        </x:is>
      </x:c>
      <x:c r="D67" s="16" t="inlineStr">
        <x:is>
          <x:t xml:space="preserve">$</x:t>
        </x:is>
      </x:c>
      <x:c r="E67" s="79">
        <x:f>Assumptions!C66</x:f>
        <x:v>50000</x:v>
      </x:c>
      <x:c r="F67" s="79">
        <x:f>Assumptions!D66</x:f>
        <x:v>50000</x:v>
      </x:c>
      <x:c r="G67" s="79">
        <x:f>Assumptions!E66</x:f>
        <x:v>50000</x:v>
      </x:c>
      <x:c r="H67" s="79">
        <x:f>Assumptions!F66</x:f>
        <x:v>50000</x:v>
      </x:c>
      <x:c r="I67" s="79">
        <x:f>Assumptions!G66</x:f>
        <x:v>50000</x:v>
      </x:c>
      <x:c r="J67" s="79">
        <x:f>Assumptions!H66</x:f>
        <x:v>50000</x:v>
      </x:c>
      <x:c r="K67" s="16" t="inlineStr">
        <x:is>
          <x:t xml:space="preserve">Estimate</x:t>
        </x:is>
      </x:c>
      <x:c r="L67" s="16" t="inlineStr">
        <x:is>
          <x:t xml:space="preserve">Low</x:t>
        </x:is>
      </x:c>
      <x:c r="M67" s="16" t="inlineStr">
        <x:is>
          <x:t xml:space="preserve">Model methodology</x:t>
        </x:is>
      </x:c>
      <x:c r="N67" s="36" t="inlineStr">
        <x:is>
          <x:t xml:space="preserve">Nominal local tax placeholder.</x:t>
        </x:is>
      </x:c>
    </x:row>
    <x:row r="68">
      <x:c r="A68" s="2" t="n">
        <x:v>61</x:v>
      </x:c>
      <x:c r="B68" s="16" t="inlineStr">
        <x:is>
          <x:t xml:space="preserve">Arena / Municipal</x:t>
        </x:is>
      </x:c>
      <x:c r="C68" s="16" t="inlineStr">
        <x:is>
          <x:t xml:space="preserve">Debt-to-value ratio</x:t>
        </x:is>
      </x:c>
      <x:c r="D68" s="16" t="inlineStr">
        <x:is>
          <x:t xml:space="preserve">pct</x:t>
        </x:is>
      </x:c>
      <x:c r="E68" s="81">
        <x:f>Assumptions!C67</x:f>
        <x:v>0.05</x:v>
      </x:c>
      <x:c r="F68" s="81">
        <x:f>Assumptions!D67</x:f>
        <x:v>0.05</x:v>
      </x:c>
      <x:c r="G68" s="81">
        <x:f>Assumptions!E67</x:f>
        <x:v>0.05</x:v>
      </x:c>
      <x:c r="H68" s="81">
        <x:f>Assumptions!F67</x:f>
        <x:v>0.05</x:v>
      </x:c>
      <x:c r="I68" s="81">
        <x:f>Assumptions!G67</x:f>
        <x:v>0.05</x:v>
      </x:c>
      <x:c r="J68" s="81">
        <x:f>Assumptions!H67</x:f>
        <x:v>0.05</x:v>
      </x:c>
      <x:c r="K68" s="16" t="inlineStr">
        <x:is>
          <x:t xml:space="preserve">Estimate</x:t>
        </x:is>
      </x:c>
      <x:c r="L68" s="16" t="inlineStr">
        <x:is>
          <x:t xml:space="preserve">Low</x:t>
        </x:is>
      </x:c>
      <x:c r="M68" s="16" t="inlineStr">
        <x:is>
          <x:t xml:space="preserve">Model methodology</x:t>
        </x:is>
      </x:c>
      <x:c r="N68" s="36" t="inlineStr">
        <x:is>
          <x:t xml:space="preserve">Nominal placeholder only.</x:t>
        </x:is>
      </x:c>
    </x:row>
    <x:row r="69">
      <x:c r="A69" s="34" t="inlineStr">
        <x:is>
          <x:t xml:space="preserve">4. Hockey Ops, Organization &amp; Human Capital</x:t>
        </x:is>
      </x:c>
    </x:row>
    <x:row r="70">
      <x:c r="A70" s="2" t="n">
        <x:v>62</x:v>
      </x:c>
      <x:c r="B70" s="16" t="inlineStr">
        <x:is>
          <x:t xml:space="preserve">Human Capital</x:t>
        </x:is>
      </x:c>
      <x:c r="C70" s="16" t="inlineStr">
        <x:is>
          <x:t xml:space="preserve">Roster headcount</x:t>
        </x:is>
      </x:c>
      <x:c r="D70" s="16" t="inlineStr">
        <x:is>
          <x:t xml:space="preserve">players</x:t>
        </x:is>
      </x:c>
      <x:c r="E70" s="78">
        <x:f>Assumptions!C68</x:f>
        <x:v>22</x:v>
      </x:c>
      <x:c r="F70" s="78">
        <x:f>Assumptions!D68</x:f>
        <x:v>24</x:v>
      </x:c>
      <x:c r="G70" s="78">
        <x:f>Assumptions!E68</x:f>
        <x:v>26</x:v>
      </x:c>
      <x:c r="H70" s="78">
        <x:f>Assumptions!F68</x:f>
        <x:v>22</x:v>
      </x:c>
      <x:c r="I70" s="78">
        <x:f>Assumptions!G68</x:f>
        <x:v>29</x:v>
      </x:c>
      <x:c r="J70" s="78">
        <x:f>Assumptions!H68</x:f>
        <x:v>29</x:v>
      </x:c>
      <x:c r="K70" s="16" t="inlineStr">
        <x:is>
          <x:t xml:space="preserve">Public / projection</x:t>
        </x:is>
      </x:c>
      <x:c r="L70" s="16" t="inlineStr">
        <x:is>
          <x:t xml:space="preserve">Medium</x:t>
        </x:is>
      </x:c>
      <x:c r="M70" s="16" t="inlineStr">
        <x:is>
          <x:t xml:space="preserve">Official roster / game notes</x:t>
        </x:is>
      </x:c>
      <x:c r="N70" s="36" t="inlineStr">
        <x:is>
          <x:t xml:space="preserve">Opening-night/current roster anchor.</x:t>
        </x:is>
      </x:c>
    </x:row>
    <x:row r="71">
      <x:c r="A71" s="2" t="n">
        <x:v>63</x:v>
      </x:c>
      <x:c r="B71" s="16" t="inlineStr">
        <x:is>
          <x:t xml:space="preserve">Human Capital</x:t>
        </x:is>
      </x:c>
      <x:c r="C71" s="16" t="inlineStr">
        <x:is>
          <x:t xml:space="preserve">Coaching staff payroll</x:t>
        </x:is>
      </x:c>
      <x:c r="D71" s="16" t="inlineStr">
        <x:is>
          <x:t xml:space="preserve">$</x:t>
        </x:is>
      </x:c>
      <x:c r="E71" s="79">
        <x:f>Assumptions!C69</x:f>
        <x:v>550000</x:v>
      </x:c>
      <x:c r="F71" s="79">
        <x:f>Assumptions!D69</x:f>
        <x:v>560000</x:v>
      </x:c>
      <x:c r="G71" s="79">
        <x:f>Assumptions!E69</x:f>
        <x:v>580000</x:v>
      </x:c>
      <x:c r="H71" s="79">
        <x:f>Assumptions!F69</x:f>
        <x:v>620000</x:v>
      </x:c>
      <x:c r="I71" s="79">
        <x:f>Assumptions!G69</x:f>
        <x:v>680000</x:v>
      </x:c>
      <x:c r="J71" s="79">
        <x:f>Assumptions!H69</x:f>
        <x:v>710000</x:v>
      </x:c>
      <x:c r="K71" s="16" t="inlineStr">
        <x:is>
          <x:t xml:space="preserve">Estimate</x:t>
        </x:is>
      </x:c>
      <x:c r="L71" s="16" t="inlineStr">
        <x:is>
          <x:t xml:space="preserve">Low</x:t>
        </x:is>
      </x:c>
      <x:c r="M71" s="16" t="inlineStr">
        <x:is>
          <x:t xml:space="preserve">Model methodology</x:t>
        </x:is>
      </x:c>
      <x:c r="N71" s="36" t="inlineStr">
        <x:is>
          <x:t xml:space="preserve">Head coach + assistants + video support.</x:t>
        </x:is>
      </x:c>
    </x:row>
    <x:row r="72">
      <x:c r="A72" s="2" t="n">
        <x:v>64</x:v>
      </x:c>
      <x:c r="B72" s="16" t="inlineStr">
        <x:is>
          <x:t xml:space="preserve">Human Capital</x:t>
        </x:is>
      </x:c>
      <x:c r="C72" s="16" t="inlineStr">
        <x:is>
          <x:t xml:space="preserve">Front office FTE</x:t>
        </x:is>
      </x:c>
      <x:c r="D72" s="16" t="inlineStr">
        <x:is>
          <x:t xml:space="preserve">FTE</x:t>
        </x:is>
      </x:c>
      <x:c r="E72" s="78">
        <x:f>Assumptions!C70</x:f>
        <x:v>42</x:v>
      </x:c>
      <x:c r="F72" s="78">
        <x:f>Assumptions!D70</x:f>
        <x:v>43</x:v>
      </x:c>
      <x:c r="G72" s="78">
        <x:f>Assumptions!E70</x:f>
        <x:v>44</x:v>
      </x:c>
      <x:c r="H72" s="78">
        <x:f>Assumptions!F70</x:f>
        <x:v>45</x:v>
      </x:c>
      <x:c r="I72" s="78">
        <x:f>Assumptions!G70</x:f>
        <x:v>46</x:v>
      </x:c>
      <x:c r="J72" s="78">
        <x:f>Assumptions!H70</x:f>
        <x:v>47</x:v>
      </x:c>
      <x:c r="K72" s="16" t="inlineStr">
        <x:is>
          <x:t xml:space="preserve">Estimate</x:t>
        </x:is>
      </x:c>
      <x:c r="L72" s="16" t="inlineStr">
        <x:is>
          <x:t xml:space="preserve">Medium</x:t>
        </x:is>
      </x:c>
      <x:c r="M72" s="16" t="inlineStr">
        <x:is>
          <x:t xml:space="preserve">Official front office + LinkedIn</x:t>
        </x:is>
      </x:c>
      <x:c r="N72" s="36" t="inlineStr">
        <x:is>
          <x:t xml:space="preserve">Business / marketing / partnership staff estimate.</x:t>
        </x:is>
      </x:c>
    </x:row>
    <x:row r="73">
      <x:c r="A73" s="2" t="n">
        <x:v>65</x:v>
      </x:c>
      <x:c r="B73" s="16" t="inlineStr">
        <x:is>
          <x:t xml:space="preserve">Human Capital</x:t>
        </x:is>
      </x:c>
      <x:c r="C73" s="16" t="inlineStr">
        <x:is>
          <x:t xml:space="preserve">Medical / training tech spend</x:t>
        </x:is>
      </x:c>
      <x:c r="D73" s="16" t="inlineStr">
        <x:is>
          <x:t xml:space="preserve">$</x:t>
        </x:is>
      </x:c>
      <x:c r="E73" s="79">
        <x:f>Assumptions!C71</x:f>
        <x:v>100000</x:v>
      </x:c>
      <x:c r="F73" s="79">
        <x:f>Assumptions!D71</x:f>
        <x:v>110000</x:v>
      </x:c>
      <x:c r="G73" s="79">
        <x:f>Assumptions!E71</x:f>
        <x:v>130000</x:v>
      </x:c>
      <x:c r="H73" s="79">
        <x:f>Assumptions!F71</x:f>
        <x:v>150000</x:v>
      </x:c>
      <x:c r="I73" s="79">
        <x:f>Assumptions!G71</x:f>
        <x:v>175000</x:v>
      </x:c>
      <x:c r="J73" s="79">
        <x:f>Assumptions!H71</x:f>
        <x:v>185000</x:v>
      </x:c>
      <x:c r="K73" s="16" t="inlineStr">
        <x:is>
          <x:t xml:space="preserve">Estimate</x:t>
        </x:is>
      </x:c>
      <x:c r="L73" s="16" t="inlineStr">
        <x:is>
          <x:t xml:space="preserve">Low</x:t>
        </x:is>
      </x:c>
      <x:c r="M73" s="16" t="inlineStr">
        <x:is>
          <x:t xml:space="preserve">Model methodology</x:t>
        </x:is>
      </x:c>
      <x:c r="N73" s="36" t="inlineStr">
        <x:is>
          <x:t xml:space="preserve">Sports science / recovery allocation.</x:t>
        </x:is>
      </x:c>
    </x:row>
    <x:row r="74">
      <x:c r="A74" s="2" t="n">
        <x:v>66</x:v>
      </x:c>
      <x:c r="B74" s="16" t="inlineStr">
        <x:is>
          <x:t xml:space="preserve">Human Capital</x:t>
        </x:is>
      </x:c>
      <x:c r="C74" s="16" t="inlineStr">
        <x:is>
          <x:t xml:space="preserve">Travel logistics ratio (air-heavy)</x:t>
        </x:is>
      </x:c>
      <x:c r="D74" s="16" t="inlineStr">
        <x:is>
          <x:t xml:space="preserve">pct</x:t>
        </x:is>
      </x:c>
      <x:c r="E74" s="81">
        <x:f>Assumptions!C72</x:f>
        <x:v>0.82</x:v>
      </x:c>
      <x:c r="F74" s="81">
        <x:f>Assumptions!D72</x:f>
        <x:v>0.82</x:v>
      </x:c>
      <x:c r="G74" s="81">
        <x:f>Assumptions!E72</x:f>
        <x:v>0.83</x:v>
      </x:c>
      <x:c r="H74" s="81">
        <x:f>Assumptions!F72</x:f>
        <x:v>0.84</x:v>
      </x:c>
      <x:c r="I74" s="81">
        <x:f>Assumptions!G72</x:f>
        <x:v>0.84</x:v>
      </x:c>
      <x:c r="J74" s="81">
        <x:f>Assumptions!H72</x:f>
        <x:v>0.84</x:v>
      </x:c>
      <x:c r="K74" s="16" t="inlineStr">
        <x:is>
          <x:t xml:space="preserve">Estimate</x:t>
        </x:is>
      </x:c>
      <x:c r="L74" s="16" t="inlineStr">
        <x:is>
          <x:t xml:space="preserve">Low</x:t>
        </x:is>
      </x:c>
      <x:c r="M74" s="16" t="inlineStr">
        <x:is>
          <x:t xml:space="preserve">Model methodology</x:t>
        </x:is>
      </x:c>
      <x:c r="N74" s="36" t="inlineStr">
        <x:is>
          <x:t xml:space="preserve">Travel intensity ratio.</x:t>
        </x:is>
      </x:c>
    </x:row>
    <x:row r="75">
      <x:c r="A75" s="2" t="n">
        <x:v>67</x:v>
      </x:c>
      <x:c r="B75" s="16" t="inlineStr">
        <x:is>
          <x:t xml:space="preserve">Human Capital</x:t>
        </x:is>
      </x:c>
      <x:c r="C75" s="16" t="inlineStr">
        <x:is>
          <x:t xml:space="preserve">Player housing spend</x:t>
        </x:is>
      </x:c>
      <x:c r="D75" s="16" t="inlineStr">
        <x:is>
          <x:t xml:space="preserve">$</x:t>
        </x:is>
      </x:c>
      <x:c r="E75" s="79">
        <x:f>Assumptions!C73</x:f>
        <x:v>200000</x:v>
      </x:c>
      <x:c r="F75" s="79">
        <x:f>Assumptions!D73</x:f>
        <x:v>210000</x:v>
      </x:c>
      <x:c r="G75" s="79">
        <x:f>Assumptions!E73</x:f>
        <x:v>230000</x:v>
      </x:c>
      <x:c r="H75" s="79">
        <x:f>Assumptions!F73</x:f>
        <x:v>250000</x:v>
      </x:c>
      <x:c r="I75" s="79">
        <x:f>Assumptions!G73</x:f>
        <x:v>280000</x:v>
      </x:c>
      <x:c r="J75" s="79">
        <x:f>Assumptions!H73</x:f>
        <x:v>290000</x:v>
      </x:c>
      <x:c r="K75" s="16" t="inlineStr">
        <x:is>
          <x:t xml:space="preserve">Estimate</x:t>
        </x:is>
      </x:c>
      <x:c r="L75" s="16" t="inlineStr">
        <x:is>
          <x:t xml:space="preserve">Low</x:t>
        </x:is>
      </x:c>
      <x:c r="M75" s="16" t="inlineStr">
        <x:is>
          <x:t xml:space="preserve">Model methodology</x:t>
        </x:is>
      </x:c>
      <x:c r="N75" s="36" t="inlineStr">
        <x:is>
          <x:t xml:space="preserve">Local market housing support estimate.</x:t>
        </x:is>
      </x:c>
    </x:row>
    <x:row r="76">
      <x:c r="A76" s="2" t="n">
        <x:v>68</x:v>
      </x:c>
      <x:c r="B76" s="16" t="inlineStr">
        <x:is>
          <x:t xml:space="preserve">Human Capital</x:t>
        </x:is>
      </x:c>
      <x:c r="C76" s="16" t="inlineStr">
        <x:is>
          <x:t xml:space="preserve">AHL-only salary floor</x:t>
        </x:is>
      </x:c>
      <x:c r="D76" s="16" t="inlineStr">
        <x:is>
          <x:t xml:space="preserve">$</x:t>
        </x:is>
      </x:c>
      <x:c r="E76" s="79">
        <x:f>Assumptions!C74</x:f>
        <x:v>49000</x:v>
      </x:c>
      <x:c r="F76" s="79">
        <x:f>Assumptions!D74</x:f>
        <x:v>50000</x:v>
      </x:c>
      <x:c r="G76" s="79">
        <x:f>Assumptions!E74</x:f>
        <x:v>51500</x:v>
      </x:c>
      <x:c r="H76" s="79">
        <x:f>Assumptions!F74</x:f>
        <x:v>52725</x:v>
      </x:c>
      <x:c r="I76" s="79">
        <x:f>Assumptions!G74</x:f>
        <x:v>54000</x:v>
      </x:c>
      <x:c r="J76" s="79">
        <x:f>Assumptions!H74</x:f>
        <x:v>55620</x:v>
      </x:c>
      <x:c r="K76" s="16" t="inlineStr">
        <x:is>
          <x:t xml:space="preserve">Estimate / projection</x:t>
        </x:is>
      </x:c>
      <x:c r="L76" s="16" t="inlineStr">
        <x:is>
          <x:t xml:space="preserve">Medium</x:t>
        </x:is>
      </x:c>
      <x:c r="M76" s="16" t="inlineStr">
        <x:is>
          <x:t xml:space="preserve">PHPA / benchmark</x:t>
        </x:is>
      </x:c>
      <x:c r="N76" s="36" t="inlineStr">
        <x:is>
          <x:t xml:space="preserve">2024-25 visible minimum, other years stepped.</x:t>
        </x:is>
      </x:c>
    </x:row>
    <x:row r="77">
      <x:c r="A77" s="2" t="n">
        <x:v>69</x:v>
      </x:c>
      <x:c r="B77" s="16" t="inlineStr">
        <x:is>
          <x:t xml:space="preserve">Human Capital</x:t>
        </x:is>
      </x:c>
      <x:c r="C77" s="16" t="inlineStr">
        <x:is>
          <x:t xml:space="preserve">AHL-only average salary</x:t>
        </x:is>
      </x:c>
      <x:c r="D77" s="16" t="inlineStr">
        <x:is>
          <x:t xml:space="preserve">$</x:t>
        </x:is>
      </x:c>
      <x:c r="E77" s="79">
        <x:f>Assumptions!C75</x:f>
        <x:v>65000</x:v>
      </x:c>
      <x:c r="F77" s="79">
        <x:f>Assumptions!D75</x:f>
        <x:v>66000</x:v>
      </x:c>
      <x:c r="G77" s="79">
        <x:f>Assumptions!E75</x:f>
        <x:v>70000</x:v>
      </x:c>
      <x:c r="H77" s="79">
        <x:f>Assumptions!F75</x:f>
        <x:v>74000</x:v>
      </x:c>
      <x:c r="I77" s="79">
        <x:f>Assumptions!G75</x:f>
        <x:v>78000</x:v>
      </x:c>
      <x:c r="J77" s="79">
        <x:f>Assumptions!H75</x:f>
        <x:v>80000</x:v>
      </x:c>
      <x:c r="K77" s="16" t="inlineStr">
        <x:is>
          <x:t xml:space="preserve">Estimate</x:t>
        </x:is>
      </x:c>
      <x:c r="L77" s="16" t="inlineStr">
        <x:is>
          <x:t xml:space="preserve">Low</x:t>
        </x:is>
      </x:c>
      <x:c r="M77" s="16" t="inlineStr">
        <x:is>
          <x:t xml:space="preserve">Model methodology</x:t>
        </x:is>
      </x:c>
      <x:c r="N77" s="36" t="inlineStr">
        <x:is>
          <x:t xml:space="preserve">Modeled non-NHL salary average.</x:t>
        </x:is>
      </x:c>
    </x:row>
    <x:row r="78">
      <x:c r="A78" s="2" t="n">
        <x:v>70</x:v>
      </x:c>
      <x:c r="B78" s="16" t="inlineStr">
        <x:is>
          <x:t xml:space="preserve">Human Capital</x:t>
        </x:is>
      </x:c>
      <x:c r="C78" s="16" t="inlineStr">
        <x:is>
          <x:t xml:space="preserve">Insurance premiums</x:t>
        </x:is>
      </x:c>
      <x:c r="D78" s="16" t="inlineStr">
        <x:is>
          <x:t xml:space="preserve">$</x:t>
        </x:is>
      </x:c>
      <x:c r="E78" s="79">
        <x:f>Assumptions!C76</x:f>
        <x:v>200000</x:v>
      </x:c>
      <x:c r="F78" s="79">
        <x:f>Assumptions!D76</x:f>
        <x:v>210000</x:v>
      </x:c>
      <x:c r="G78" s="79">
        <x:f>Assumptions!E76</x:f>
        <x:v>230000</x:v>
      </x:c>
      <x:c r="H78" s="79">
        <x:f>Assumptions!F76</x:f>
        <x:v>250000</x:v>
      </x:c>
      <x:c r="I78" s="79">
        <x:f>Assumptions!G76</x:f>
        <x:v>270000</x:v>
      </x:c>
      <x:c r="J78" s="79">
        <x:f>Assumptions!H76</x:f>
        <x:v>280000</x:v>
      </x:c>
      <x:c r="K78" s="16" t="inlineStr">
        <x:is>
          <x:t xml:space="preserve">Estimate</x:t>
        </x:is>
      </x:c>
      <x:c r="L78" s="16" t="inlineStr">
        <x:is>
          <x:t xml:space="preserve">Low</x:t>
        </x:is>
      </x:c>
      <x:c r="M78" s="16" t="inlineStr">
        <x:is>
          <x:t xml:space="preserve">Model methodology</x:t>
        </x:is>
      </x:c>
      <x:c r="N78" s="36" t="inlineStr">
        <x:is>
          <x:t xml:space="preserve">Workers' comp / liability allocation.</x:t>
        </x:is>
      </x:c>
    </x:row>
    <x:row r="79">
      <x:c r="A79" s="2" t="n">
        <x:v>71</x:v>
      </x:c>
      <x:c r="B79" s="16" t="inlineStr">
        <x:is>
          <x:t xml:space="preserve">Human Capital</x:t>
        </x:is>
      </x:c>
      <x:c r="C79" s="16" t="inlineStr">
        <x:is>
          <x:t xml:space="preserve">Equipment lifecycle cost</x:t>
        </x:is>
      </x:c>
      <x:c r="D79" s="16" t="inlineStr">
        <x:is>
          <x:t xml:space="preserve">$</x:t>
        </x:is>
      </x:c>
      <x:c r="E79" s="79">
        <x:f>Assumptions!C77</x:f>
        <x:v>150000</x:v>
      </x:c>
      <x:c r="F79" s="79">
        <x:f>Assumptions!D77</x:f>
        <x:v>155000</x:v>
      </x:c>
      <x:c r="G79" s="79">
        <x:f>Assumptions!E77</x:f>
        <x:v>165000</x:v>
      </x:c>
      <x:c r="H79" s="79">
        <x:f>Assumptions!F77</x:f>
        <x:v>175000</x:v>
      </x:c>
      <x:c r="I79" s="79">
        <x:f>Assumptions!G77</x:f>
        <x:v>190000</x:v>
      </x:c>
      <x:c r="J79" s="79">
        <x:f>Assumptions!H77</x:f>
        <x:v>195000</x:v>
      </x:c>
      <x:c r="K79" s="16" t="inlineStr">
        <x:is>
          <x:t xml:space="preserve">Estimate</x:t>
        </x:is>
      </x:c>
      <x:c r="L79" s="16" t="inlineStr">
        <x:is>
          <x:t xml:space="preserve">Low</x:t>
        </x:is>
      </x:c>
      <x:c r="M79" s="16" t="inlineStr">
        <x:is>
          <x:t xml:space="preserve">Model methodology</x:t>
        </x:is>
      </x:c>
      <x:c r="N79" s="36" t="inlineStr">
        <x:is>
          <x:t xml:space="preserve">Annual equipment budget estimate.</x:t>
        </x:is>
      </x:c>
    </x:row>
    <x:row r="80">
      <x:c r="A80" s="2" t="n">
        <x:v>72</x:v>
      </x:c>
      <x:c r="B80" s="16" t="inlineStr">
        <x:is>
          <x:t xml:space="preserve">Human Capital</x:t>
        </x:is>
      </x:c>
      <x:c r="C80" s="16" t="inlineStr">
        <x:is>
          <x:t xml:space="preserve">Ducks prospects in San Diego</x:t>
        </x:is>
      </x:c>
      <x:c r="D80" s="16" t="inlineStr">
        <x:is>
          <x:t xml:space="preserve">players</x:t>
        </x:is>
      </x:c>
      <x:c r="E80" s="78">
        <x:f>Assumptions!C78</x:f>
        <x:v>8</x:v>
      </x:c>
      <x:c r="F80" s="78">
        <x:f>Assumptions!D78</x:f>
        <x:v>8</x:v>
      </x:c>
      <x:c r="G80" s="78">
        <x:f>Assumptions!E78</x:f>
        <x:v>9</x:v>
      </x:c>
      <x:c r="H80" s="78">
        <x:f>Assumptions!F78</x:f>
        <x:v>9</x:v>
      </x:c>
      <x:c r="I80" s="78">
        <x:f>Assumptions!G78</x:f>
        <x:v>15</x:v>
      </x:c>
      <x:c r="J80" s="78">
        <x:f>Assumptions!H78</x:f>
        <x:v>15</x:v>
      </x:c>
      <x:c r="K80" s="16" t="inlineStr">
        <x:is>
          <x:t xml:space="preserve">Estimate</x:t>
        </x:is>
      </x:c>
      <x:c r="L80" s="16" t="inlineStr">
        <x:is>
          <x:t xml:space="preserve">Low</x:t>
        </x:is>
      </x:c>
      <x:c r="M80" s="16" t="inlineStr">
        <x:is>
          <x:t xml:space="preserve">Official roster/game notes</x:t>
        </x:is>
      </x:c>
      <x:c r="N80" s="36" t="inlineStr">
        <x:is>
          <x:t xml:space="preserve">Approximate Ducks-controlled development pipeline.</x:t>
        </x:is>
      </x:c>
    </x:row>
    <x:row r="81">
      <x:c r="A81" s="34" t="inlineStr">
        <x:is>
          <x:t xml:space="preserve">5. Digital, Marketing &amp; Brand Equity</x:t>
        </x:is>
      </x:c>
    </x:row>
    <x:row r="82">
      <x:c r="A82" s="2" t="n">
        <x:v>73</x:v>
      </x:c>
      <x:c r="B82" s="16" t="inlineStr">
        <x:is>
          <x:t xml:space="preserve">Digital / Brand</x:t>
        </x:is>
      </x:c>
      <x:c r="C82" s="16" t="inlineStr">
        <x:is>
          <x:t xml:space="preserve">Email subscribers (estimated active)</x:t>
        </x:is>
      </x:c>
      <x:c r="D82" s="16" t="inlineStr">
        <x:is>
          <x:t xml:space="preserve">subs</x:t>
        </x:is>
      </x:c>
      <x:c r="E82" s="78">
        <x:f>Assumptions!C48</x:f>
        <x:v>18000</x:v>
      </x:c>
      <x:c r="F82" s="78">
        <x:f>Assumptions!D48</x:f>
        <x:v>19000</x:v>
      </x:c>
      <x:c r="G82" s="78">
        <x:f>Assumptions!E48</x:f>
        <x:v>20000</x:v>
      </x:c>
      <x:c r="H82" s="78">
        <x:f>Assumptions!F48</x:f>
        <x:v>21000</x:v>
      </x:c>
      <x:c r="I82" s="78">
        <x:f>Assumptions!G48</x:f>
        <x:v>22000</x:v>
      </x:c>
      <x:c r="J82" s="78">
        <x:f>Assumptions!H48</x:f>
        <x:v>23000</x:v>
      </x:c>
      <x:c r="K82" s="16" t="inlineStr">
        <x:is>
          <x:t xml:space="preserve">Estimate</x:t>
        </x:is>
      </x:c>
      <x:c r="L82" s="16" t="inlineStr">
        <x:is>
          <x:t xml:space="preserve">Low</x:t>
        </x:is>
      </x:c>
      <x:c r="M82" s="16" t="inlineStr">
        <x:is>
          <x:t xml:space="preserve">Model methodology</x:t>
        </x:is>
      </x:c>
      <x:c r="N82" s="36" t="inlineStr">
        <x:is>
          <x:t xml:space="preserve">Owned-contact base estimate.</x:t>
        </x:is>
      </x:c>
    </x:row>
    <x:row r="83">
      <x:c r="A83" s="2" t="n">
        <x:v>74</x:v>
      </x:c>
      <x:c r="B83" s="16" t="inlineStr">
        <x:is>
          <x:t xml:space="preserve">Digital / Brand</x:t>
        </x:is>
      </x:c>
      <x:c r="C83" s="16" t="inlineStr">
        <x:is>
          <x:t xml:space="preserve">Email database value per active subscriber</x:t>
        </x:is>
      </x:c>
      <x:c r="D83" s="16" t="inlineStr">
        <x:is>
          <x:t xml:space="preserve">$</x:t>
        </x:is>
      </x:c>
      <x:c r="E83" s="79">
        <x:f>Assumptions!C85</x:f>
        <x:v>5</x:v>
      </x:c>
      <x:c r="F83" s="79">
        <x:f>Assumptions!D85</x:f>
        <x:v>5</x:v>
      </x:c>
      <x:c r="G83" s="79">
        <x:f>Assumptions!E85</x:f>
        <x:v>5</x:v>
      </x:c>
      <x:c r="H83" s="79">
        <x:f>Assumptions!F85</x:f>
        <x:v>5</x:v>
      </x:c>
      <x:c r="I83" s="79">
        <x:f>Assumptions!G85</x:f>
        <x:v>5</x:v>
      </x:c>
      <x:c r="J83" s="79">
        <x:f>Assumptions!H85</x:f>
        <x:v>5</x:v>
      </x:c>
      <x:c r="K83" s="16" t="inlineStr">
        <x:is>
          <x:t xml:space="preserve">Control</x:t>
        </x:is>
      </x:c>
      <x:c r="L83" s="16" t="inlineStr">
        <x:is>
          <x:t xml:space="preserve">Medium</x:t>
        </x:is>
      </x:c>
      <x:c r="M83" s="16" t="inlineStr">
        <x:is>
          <x:t xml:space="preserve">User assumption</x:t>
        </x:is>
      </x:c>
      <x:c r="N83" s="36" t="inlineStr">
        <x:is>
          <x:t xml:space="preserve">User-directed valuation heuristic.</x:t>
        </x:is>
      </x:c>
    </x:row>
    <x:row r="84">
      <x:c r="A84" s="2" t="n">
        <x:v>75</x:v>
      </x:c>
      <x:c r="B84" s="16" t="inlineStr">
        <x:is>
          <x:t xml:space="preserve">Digital / Brand</x:t>
        </x:is>
      </x:c>
      <x:c r="C84" s="16" t="inlineStr">
        <x:is>
          <x:t xml:space="preserve">Email database value</x:t>
        </x:is>
      </x:c>
      <x:c r="D84" s="16" t="inlineStr">
        <x:is>
          <x:t xml:space="preserve">$</x:t>
        </x:is>
      </x:c>
      <x:c r="E84" s="80">
        <x:f>E82*E83</x:f>
        <x:v>90000</x:v>
      </x:c>
      <x:c r="F84" s="80">
        <x:f>F82*F83</x:f>
        <x:v>95000</x:v>
      </x:c>
      <x:c r="G84" s="80">
        <x:f>G82*G83</x:f>
        <x:v>100000</x:v>
      </x:c>
      <x:c r="H84" s="80">
        <x:f>H82*H83</x:f>
        <x:v>105000</x:v>
      </x:c>
      <x:c r="I84" s="80">
        <x:f>I82*I83</x:f>
        <x:v>110000</x:v>
      </x:c>
      <x:c r="J84" s="80">
        <x:f>J82*J83</x:f>
        <x:v>115000</x:v>
      </x:c>
      <x:c r="K84" s="16" t="inlineStr">
        <x:is>
          <x:t xml:space="preserve">Derived</x:t>
        </x:is>
      </x:c>
      <x:c r="L84" s="16" t="inlineStr">
        <x:is>
          <x:t xml:space="preserve">Low</x:t>
        </x:is>
      </x:c>
      <x:c r="M84" s="16" t="inlineStr">
        <x:is>
          <x:t xml:space="preserve">Email subs × $5 heuristic</x:t>
        </x:is>
      </x:c>
      <x:c r="N84" s="36" t="inlineStr">
        <x:is>
          <x:t xml:space="preserve">Simple database value proxy.</x:t>
        </x:is>
      </x:c>
    </x:row>
    <x:row r="85">
      <x:c r="A85" s="2" t="n">
        <x:v>76</x:v>
      </x:c>
      <x:c r="B85" s="16" t="inlineStr">
        <x:is>
          <x:t xml:space="preserve">Digital / Brand</x:t>
        </x:is>
      </x:c>
      <x:c r="C85" s="16" t="inlineStr">
        <x:is>
          <x:t xml:space="preserve">Social audience (aggregate est.)</x:t>
        </x:is>
      </x:c>
      <x:c r="D85" s="16" t="inlineStr">
        <x:is>
          <x:t xml:space="preserve">followers</x:t>
        </x:is>
      </x:c>
      <x:c r="E85" s="78">
        <x:f>Assumptions!C49</x:f>
        <x:v>150000</x:v>
      </x:c>
      <x:c r="F85" s="78">
        <x:f>Assumptions!D49</x:f>
        <x:v>165000</x:v>
      </x:c>
      <x:c r="G85" s="78">
        <x:f>Assumptions!E49</x:f>
        <x:v>180000</x:v>
      </x:c>
      <x:c r="H85" s="78">
        <x:f>Assumptions!F49</x:f>
        <x:v>195000</x:v>
      </x:c>
      <x:c r="I85" s="78">
        <x:f>Assumptions!G49</x:f>
        <x:v>205000</x:v>
      </x:c>
      <x:c r="J85" s="78">
        <x:f>Assumptions!H49</x:f>
        <x:v>215000</x:v>
      </x:c>
      <x:c r="K85" s="16" t="inlineStr">
        <x:is>
          <x:t xml:space="preserve">Estimate</x:t>
        </x:is>
      </x:c>
      <x:c r="L85" s="16" t="inlineStr">
        <x:is>
          <x:t xml:space="preserve">Low</x:t>
        </x:is>
      </x:c>
      <x:c r="M85" s="16" t="inlineStr">
        <x:is>
          <x:t xml:space="preserve">Public social snippets</x:t>
        </x:is>
      </x:c>
      <x:c r="N85" s="36" t="inlineStr">
        <x:is>
          <x:t xml:space="preserve">Approximate total audience across major platforms.</x:t>
        </x:is>
      </x:c>
    </x:row>
    <x:row r="86">
      <x:c r="A86" s="2" t="n">
        <x:v>77</x:v>
      </x:c>
      <x:c r="B86" s="16" t="inlineStr">
        <x:is>
          <x:t xml:space="preserve">Digital / Brand</x:t>
        </x:is>
      </x:c>
      <x:c r="C86" s="16" t="inlineStr">
        <x:is>
          <x:t xml:space="preserve">Website monthly visits</x:t>
        </x:is>
      </x:c>
      <x:c r="D86" s="16" t="inlineStr">
        <x:is>
          <x:t xml:space="preserve">visits</x:t>
        </x:is>
      </x:c>
      <x:c r="E86" s="78">
        <x:f>Assumptions!C50</x:f>
        <x:v>28000</x:v>
      </x:c>
      <x:c r="F86" s="78">
        <x:f>Assumptions!D50</x:f>
        <x:v>29000</x:v>
      </x:c>
      <x:c r="G86" s="78">
        <x:f>Assumptions!E50</x:f>
        <x:v>31000</x:v>
      </x:c>
      <x:c r="H86" s="78">
        <x:f>Assumptions!F50</x:f>
        <x:v>33000</x:v>
      </x:c>
      <x:c r="I86" s="78">
        <x:f>Assumptions!G50</x:f>
        <x:v>35200</x:v>
      </x:c>
      <x:c r="J86" s="78">
        <x:f>Assumptions!H50</x:f>
        <x:v>38016</x:v>
      </x:c>
      <x:c r="K86" s="16" t="inlineStr">
        <x:is>
          <x:t xml:space="preserve">Estimate / projection</x:t>
        </x:is>
      </x:c>
      <x:c r="L86" s="16" t="inlineStr">
        <x:is>
          <x:t xml:space="preserve">Medium</x:t>
        </x:is>
      </x:c>
      <x:c r="M86" s="16" t="inlineStr">
        <x:is>
          <x:t xml:space="preserve">Similarweb</x:t>
        </x:is>
      </x:c>
      <x:c r="N86" s="36" t="inlineStr">
        <x:is>
          <x:t xml:space="preserve">Current-year anchor plus historical trend/projection.</x:t>
        </x:is>
      </x:c>
    </x:row>
    <x:row r="87">
      <x:c r="A87" s="2" t="n">
        <x:v>78</x:v>
      </x:c>
      <x:c r="B87" s="16" t="inlineStr">
        <x:is>
          <x:t xml:space="preserve">Digital / Brand</x:t>
        </x:is>
      </x:c>
      <x:c r="C87" s="16" t="inlineStr">
        <x:is>
          <x:t xml:space="preserve">Bounce rate</x:t>
        </x:is>
      </x:c>
      <x:c r="D87" s="16" t="inlineStr">
        <x:is>
          <x:t xml:space="preserve">pct</x:t>
        </x:is>
      </x:c>
      <x:c r="E87" s="81">
        <x:f>Assumptions!C51</x:f>
        <x:v>0.5</x:v>
      </x:c>
      <x:c r="F87" s="81">
        <x:f>Assumptions!D51</x:f>
        <x:v>0.495</x:v>
      </x:c>
      <x:c r="G87" s="81">
        <x:f>Assumptions!E51</x:f>
        <x:v>0.49</x:v>
      </x:c>
      <x:c r="H87" s="81">
        <x:f>Assumptions!F51</x:f>
        <x:v>0.48</x:v>
      </x:c>
      <x:c r="I87" s="81">
        <x:f>Assumptions!G51</x:f>
        <x:v>0.4725</x:v>
      </x:c>
      <x:c r="J87" s="81">
        <x:f>Assumptions!H51</x:f>
        <x:v>0.465</x:v>
      </x:c>
      <x:c r="K87" s="16" t="inlineStr">
        <x:is>
          <x:t xml:space="preserve">Estimate / projection</x:t>
        </x:is>
      </x:c>
      <x:c r="L87" s="16" t="inlineStr">
        <x:is>
          <x:t xml:space="preserve">Medium</x:t>
        </x:is>
      </x:c>
      <x:c r="M87" s="16" t="inlineStr">
        <x:is>
          <x:t xml:space="preserve">Similarweb</x:t>
        </x:is>
      </x:c>
      <x:c r="N87" s="36" t="inlineStr">
        <x:is>
          <x:t xml:space="preserve">Current-year anchor plus trend.</x:t>
        </x:is>
      </x:c>
    </x:row>
    <x:row r="88">
      <x:c r="A88" s="2" t="n">
        <x:v>79</x:v>
      </x:c>
      <x:c r="B88" s="16" t="inlineStr">
        <x:is>
          <x:t xml:space="preserve">Digital / Brand</x:t>
        </x:is>
      </x:c>
      <x:c r="C88" s="16" t="inlineStr">
        <x:is>
          <x:t xml:space="preserve">Pages per visit</x:t>
        </x:is>
      </x:c>
      <x:c r="D88" s="16" t="inlineStr">
        <x:is>
          <x:t xml:space="preserve">pages</x:t>
        </x:is>
      </x:c>
      <x:c r="E88" s="45">
        <x:f>Assumptions!C52</x:f>
        <x:v>1.55</x:v>
      </x:c>
      <x:c r="F88" s="45">
        <x:f>Assumptions!D52</x:f>
        <x:v>1.6</x:v>
      </x:c>
      <x:c r="G88" s="45">
        <x:f>Assumptions!E52</x:f>
        <x:v>1.65</x:v>
      </x:c>
      <x:c r="H88" s="45">
        <x:f>Assumptions!F52</x:f>
        <x:v>1.72</x:v>
      </x:c>
      <x:c r="I88" s="45">
        <x:f>Assumptions!G52</x:f>
        <x:v>1.8</x:v>
      </x:c>
      <x:c r="J88" s="45">
        <x:f>Assumptions!H52</x:f>
        <x:v>1.9</x:v>
      </x:c>
      <x:c r="K88" s="16" t="inlineStr">
        <x:is>
          <x:t xml:space="preserve">Estimate / projection</x:t>
        </x:is>
      </x:c>
      <x:c r="L88" s="16" t="inlineStr">
        <x:is>
          <x:t xml:space="preserve">Medium</x:t>
        </x:is>
      </x:c>
      <x:c r="M88" s="16" t="inlineStr">
        <x:is>
          <x:t xml:space="preserve">Similarweb</x:t>
        </x:is>
      </x:c>
      <x:c r="N88" s="36" t="inlineStr">
        <x:is>
          <x:t xml:space="preserve">Current-year anchor plus trend.</x:t>
        </x:is>
      </x:c>
    </x:row>
    <x:row r="89">
      <x:c r="A89" s="2" t="n">
        <x:v>80</x:v>
      </x:c>
      <x:c r="B89" s="16" t="inlineStr">
        <x:is>
          <x:t xml:space="preserve">Digital / Brand</x:t>
        </x:is>
      </x:c>
      <x:c r="C89" s="16" t="inlineStr">
        <x:is>
          <x:t xml:space="preserve">Average visit duration (sec)</x:t>
        </x:is>
      </x:c>
      <x:c r="D89" s="16" t="inlineStr">
        <x:is>
          <x:t xml:space="preserve">sec</x:t>
        </x:is>
      </x:c>
      <x:c r="E89" s="45">
        <x:f>Assumptions!C53</x:f>
        <x:v>60</x:v>
      </x:c>
      <x:c r="F89" s="45">
        <x:f>Assumptions!D53</x:f>
        <x:v>62</x:v>
      </x:c>
      <x:c r="G89" s="45">
        <x:f>Assumptions!E53</x:f>
        <x:v>65</x:v>
      </x:c>
      <x:c r="H89" s="45">
        <x:f>Assumptions!F53</x:f>
        <x:v>68</x:v>
      </x:c>
      <x:c r="I89" s="45">
        <x:f>Assumptions!G53</x:f>
        <x:v>70</x:v>
      </x:c>
      <x:c r="J89" s="45">
        <x:f>Assumptions!H53</x:f>
        <x:v>75</x:v>
      </x:c>
      <x:c r="K89" s="16" t="inlineStr">
        <x:is>
          <x:t xml:space="preserve">Estimate / projection</x:t>
        </x:is>
      </x:c>
      <x:c r="L89" s="16" t="inlineStr">
        <x:is>
          <x:t xml:space="preserve">Medium</x:t>
        </x:is>
      </x:c>
      <x:c r="M89" s="16" t="inlineStr">
        <x:is>
          <x:t xml:space="preserve">Similarweb</x:t>
        </x:is>
      </x:c>
      <x:c r="N89" s="36" t="inlineStr">
        <x:is>
          <x:t xml:space="preserve">Current-year anchor plus trend.</x:t>
        </x:is>
      </x:c>
    </x:row>
    <x:row r="90">
      <x:c r="A90" s="2" t="n">
        <x:v>81</x:v>
      </x:c>
      <x:c r="B90" s="16" t="inlineStr">
        <x:is>
          <x:t xml:space="preserve">Digital / Brand</x:t>
        </x:is>
      </x:c>
      <x:c r="C90" s="16" t="inlineStr">
        <x:is>
          <x:t xml:space="preserve">Organic search share</x:t>
        </x:is>
      </x:c>
      <x:c r="D90" s="16" t="inlineStr">
        <x:is>
          <x:t xml:space="preserve">pct</x:t>
        </x:is>
      </x:c>
      <x:c r="E90" s="81">
        <x:f>Assumptions!C54</x:f>
        <x:v>0.4</x:v>
      </x:c>
      <x:c r="F90" s="81">
        <x:f>Assumptions!D54</x:f>
        <x:v>0.41</x:v>
      </x:c>
      <x:c r="G90" s="81">
        <x:f>Assumptions!E54</x:f>
        <x:v>0.43</x:v>
      </x:c>
      <x:c r="H90" s="81">
        <x:f>Assumptions!F54</x:f>
        <x:v>0.44</x:v>
      </x:c>
      <x:c r="I90" s="81">
        <x:f>Assumptions!G54</x:f>
        <x:v>0.4551</x:v>
      </x:c>
      <x:c r="J90" s="81">
        <x:f>Assumptions!H54</x:f>
        <x:v>0.46</x:v>
      </x:c>
      <x:c r="K90" s="16" t="inlineStr">
        <x:is>
          <x:t xml:space="preserve">Estimate / projection</x:t>
        </x:is>
      </x:c>
      <x:c r="L90" s="16" t="inlineStr">
        <x:is>
          <x:t xml:space="preserve">Medium</x:t>
        </x:is>
      </x:c>
      <x:c r="M90" s="16" t="inlineStr">
        <x:is>
          <x:t xml:space="preserve">Similarweb</x:t>
        </x:is>
      </x:c>
      <x:c r="N90" s="36" t="inlineStr">
        <x:is>
          <x:t xml:space="preserve">Current-year anchor plus trend.</x:t>
        </x:is>
      </x:c>
    </x:row>
    <x:row r="91">
      <x:c r="A91" s="2" t="n">
        <x:v>82</x:v>
      </x:c>
      <x:c r="B91" s="16" t="inlineStr">
        <x:is>
          <x:t xml:space="preserve">Digital / Brand</x:t>
        </x:is>
      </x:c>
      <x:c r="C91" s="16" t="inlineStr">
        <x:is>
          <x:t xml:space="preserve">Customer acquisition cost</x:t>
        </x:is>
      </x:c>
      <x:c r="D91" s="16" t="inlineStr">
        <x:is>
          <x:t xml:space="preserve">$</x:t>
        </x:is>
      </x:c>
      <x:c r="E91" s="79">
        <x:f>Assumptions!C55</x:f>
        <x:v>45</x:v>
      </x:c>
      <x:c r="F91" s="79">
        <x:f>Assumptions!D55</x:f>
        <x:v>44</x:v>
      </x:c>
      <x:c r="G91" s="79">
        <x:f>Assumptions!E55</x:f>
        <x:v>42</x:v>
      </x:c>
      <x:c r="H91" s="79">
        <x:f>Assumptions!F55</x:f>
        <x:v>40</x:v>
      </x:c>
      <x:c r="I91" s="79">
        <x:f>Assumptions!G55</x:f>
        <x:v>39</x:v>
      </x:c>
      <x:c r="J91" s="79">
        <x:f>Assumptions!H55</x:f>
        <x:v>37</x:v>
      </x:c>
      <x:c r="K91" s="16" t="inlineStr">
        <x:is>
          <x:t xml:space="preserve">Estimate</x:t>
        </x:is>
      </x:c>
      <x:c r="L91" s="16" t="inlineStr">
        <x:is>
          <x:t xml:space="preserve">Low</x:t>
        </x:is>
      </x:c>
      <x:c r="M91" s="16" t="inlineStr">
        <x:is>
          <x:t xml:space="preserve">Model methodology</x:t>
        </x:is>
      </x:c>
      <x:c r="N91" s="36" t="inlineStr">
        <x:is>
          <x:t xml:space="preserve">Per-new-buyer marketing cost estimate.</x:t>
        </x:is>
      </x:c>
    </x:row>
    <x:row r="92">
      <x:c r="A92" s="2" t="n">
        <x:v>83</x:v>
      </x:c>
      <x:c r="B92" s="16" t="inlineStr">
        <x:is>
          <x:t xml:space="preserve">Digital / Brand</x:t>
        </x:is>
      </x:c>
      <x:c r="C92" s="16" t="inlineStr">
        <x:is>
          <x:t xml:space="preserve">Net promoter score</x:t>
        </x:is>
      </x:c>
      <x:c r="D92" s="16" t="inlineStr">
        <x:is>
          <x:t xml:space="preserve">pts</x:t>
        </x:is>
      </x:c>
      <x:c r="E92" s="78">
        <x:f>Assumptions!C56</x:f>
        <x:v>45</x:v>
      </x:c>
      <x:c r="F92" s="78">
        <x:f>Assumptions!D56</x:f>
        <x:v>43</x:v>
      </x:c>
      <x:c r="G92" s="78">
        <x:f>Assumptions!E56</x:f>
        <x:v>46</x:v>
      </x:c>
      <x:c r="H92" s="78">
        <x:f>Assumptions!F56</x:f>
        <x:v>50</x:v>
      </x:c>
      <x:c r="I92" s="78">
        <x:f>Assumptions!G56</x:f>
        <x:v>54</x:v>
      </x:c>
      <x:c r="J92" s="78">
        <x:f>Assumptions!H56</x:f>
        <x:v>56</x:v>
      </x:c>
      <x:c r="K92" s="16" t="inlineStr">
        <x:is>
          <x:t xml:space="preserve">Estimate</x:t>
        </x:is>
      </x:c>
      <x:c r="L92" s="16" t="inlineStr">
        <x:is>
          <x:t xml:space="preserve">Low</x:t>
        </x:is>
      </x:c>
      <x:c r="M92" s="16" t="inlineStr">
        <x:is>
          <x:t xml:space="preserve">Model methodology</x:t>
        </x:is>
      </x:c>
      <x:c r="N92" s="36" t="inlineStr">
        <x:is>
          <x:t xml:space="preserve">Sentiment proxy, not official survey.</x:t>
        </x:is>
      </x:c>
    </x:row>
    <x:row r="93">
      <x:c r="A93" s="2" t="n">
        <x:v>84</x:v>
      </x:c>
      <x:c r="B93" s="16" t="inlineStr">
        <x:is>
          <x:t xml:space="preserve">Digital / Brand</x:t>
        </x:is>
      </x:c>
      <x:c r="C93" s="16" t="inlineStr">
        <x:is>
          <x:t xml:space="preserve">Foundation asset base</x:t>
        </x:is>
      </x:c>
      <x:c r="D93" s="16" t="inlineStr">
        <x:is>
          <x:t xml:space="preserve">$</x:t>
        </x:is>
      </x:c>
      <x:c r="E93" s="79">
        <x:f>Assumptions!C81</x:f>
        <x:v>200000</x:v>
      </x:c>
      <x:c r="F93" s="79">
        <x:f>Assumptions!D81</x:f>
        <x:v>220000</x:v>
      </x:c>
      <x:c r="G93" s="79">
        <x:f>Assumptions!E81</x:f>
        <x:v>240000</x:v>
      </x:c>
      <x:c r="H93" s="79">
        <x:f>Assumptions!F81</x:f>
        <x:v>260000</x:v>
      </x:c>
      <x:c r="I93" s="79">
        <x:f>Assumptions!G81</x:f>
        <x:v>280000</x:v>
      </x:c>
      <x:c r="J93" s="79">
        <x:f>Assumptions!H81</x:f>
        <x:v>300000</x:v>
      </x:c>
      <x:c r="K93" s="16" t="inlineStr">
        <x:is>
          <x:t xml:space="preserve">Estimate</x:t>
        </x:is>
      </x:c>
      <x:c r="L93" s="16" t="inlineStr">
        <x:is>
          <x:t xml:space="preserve">Low</x:t>
        </x:is>
      </x:c>
      <x:c r="M93" s="16" t="inlineStr">
        <x:is>
          <x:t xml:space="preserve">Official foundation giving + model</x:t>
        </x:is>
      </x:c>
      <x:c r="N93" s="36" t="inlineStr">
        <x:is>
          <x:t xml:space="preserve">Logical asset placeholder.</x:t>
        </x:is>
      </x:c>
    </x:row>
    <x:row r="94">
      <x:c r="A94" s="2" t="n">
        <x:v>85</x:v>
      </x:c>
      <x:c r="B94" s="16" t="inlineStr">
        <x:is>
          <x:t xml:space="preserve">Digital / Brand</x:t>
        </x:is>
      </x:c>
      <x:c r="C94" s="16" t="inlineStr">
        <x:is>
          <x:t xml:space="preserve">Affiliate synergy value</x:t>
        </x:is>
      </x:c>
      <x:c r="D94" s="16" t="inlineStr">
        <x:is>
          <x:t xml:space="preserve">$</x:t>
        </x:is>
      </x:c>
      <x:c r="E94" s="79">
        <x:f>Assumptions!C82</x:f>
        <x:v>650000</x:v>
      </x:c>
      <x:c r="F94" s="79">
        <x:f>Assumptions!D82</x:f>
        <x:v>700000</x:v>
      </x:c>
      <x:c r="G94" s="79">
        <x:f>Assumptions!E82</x:f>
        <x:v>750000</x:v>
      </x:c>
      <x:c r="H94" s="79">
        <x:f>Assumptions!F82</x:f>
        <x:v>800000</x:v>
      </x:c>
      <x:c r="I94" s="79">
        <x:f>Assumptions!G82</x:f>
        <x:v>900000</x:v>
      </x:c>
      <x:c r="J94" s="79">
        <x:f>Assumptions!H82</x:f>
        <x:v>950000</x:v>
      </x:c>
      <x:c r="K94" s="16" t="inlineStr">
        <x:is>
          <x:t xml:space="preserve">Estimate</x:t>
        </x:is>
      </x:c>
      <x:c r="L94" s="16" t="inlineStr">
        <x:is>
          <x:t xml:space="preserve">Low</x:t>
        </x:is>
      </x:c>
      <x:c r="M94" s="16" t="inlineStr">
        <x:is>
          <x:t xml:space="preserve">Model methodology</x:t>
        </x:is>
      </x:c>
      <x:c r="N94" s="36" t="inlineStr">
        <x:is>
          <x:t xml:space="preserve">Ducks ecosystem cross-promotional value.</x:t>
        </x:is>
      </x:c>
    </x:row>
    <x:row r="95">
      <x:c r="A95" s="2" t="n">
        <x:v>86</x:v>
      </x:c>
      <x:c r="B95" s="16" t="inlineStr">
        <x:is>
          <x:t xml:space="preserve">Digital / Brand</x:t>
        </x:is>
      </x:c>
      <x:c r="C95" s="16" t="inlineStr">
        <x:is>
          <x:t xml:space="preserve">Trademark / brand asset value</x:t>
        </x:is>
      </x:c>
      <x:c r="D95" s="16" t="inlineStr">
        <x:is>
          <x:t xml:space="preserve">$</x:t>
        </x:is>
      </x:c>
      <x:c r="E95" s="79">
        <x:f>Assumptions!C83</x:f>
        <x:v>300000</x:v>
      </x:c>
      <x:c r="F95" s="79">
        <x:f>Assumptions!D83</x:f>
        <x:v>325000</x:v>
      </x:c>
      <x:c r="G95" s="79">
        <x:f>Assumptions!E83</x:f>
        <x:v>350000</x:v>
      </x:c>
      <x:c r="H95" s="79">
        <x:f>Assumptions!F83</x:f>
        <x:v>375000</x:v>
      </x:c>
      <x:c r="I95" s="79">
        <x:f>Assumptions!G83</x:f>
        <x:v>425000</x:v>
      </x:c>
      <x:c r="J95" s="79">
        <x:f>Assumptions!H83</x:f>
        <x:v>450000</x:v>
      </x:c>
      <x:c r="K95" s="16" t="inlineStr">
        <x:is>
          <x:t xml:space="preserve">Estimate</x:t>
        </x:is>
      </x:c>
      <x:c r="L95" s="16" t="inlineStr">
        <x:is>
          <x:t xml:space="preserve">Low</x:t>
        </x:is>
      </x:c>
      <x:c r="M95" s="16" t="inlineStr">
        <x:is>
          <x:t xml:space="preserve">Model methodology</x:t>
        </x:is>
      </x:c>
      <x:c r="N95" s="36" t="inlineStr">
        <x:is>
          <x:t xml:space="preserve">Logical brand asset placeholder.</x:t>
        </x:is>
      </x:c>
    </x:row>
    <x:row r="96">
      <x:c r="A96" s="34" t="inlineStr">
        <x:is>
          <x:t xml:space="preserve">6. Profitability, Efficiency &amp; Valuation</x:t>
        </x:is>
      </x:c>
    </x:row>
    <x:row r="97">
      <x:c r="A97" s="2" t="n">
        <x:v>87</x:v>
      </x:c>
      <x:c r="B97" s="16" t="inlineStr">
        <x:is>
          <x:t xml:space="preserve">Valuation</x:t>
        </x:is>
      </x:c>
      <x:c r="C97" s="16" t="inlineStr">
        <x:is>
          <x:t xml:space="preserve">EBITDA margin</x:t>
        </x:is>
      </x:c>
      <x:c r="D97" s="16" t="inlineStr">
        <x:is>
          <x:t xml:space="preserve">pct</x:t>
        </x:is>
      </x:c>
      <x:c r="E97" s="83">
        <x:f>IFERROR(E98/E52,"")</x:f>
        <x:v>0.10632069943560794</x:v>
      </x:c>
      <x:c r="F97" s="83">
        <x:f>IFERROR(F98/F52,"")</x:f>
        <x:v>0.12423580403652304</x:v>
      </x:c>
      <x:c r="G97" s="83">
        <x:f>IFERROR(G98/G52,"")</x:f>
        <x:v>0.07504350803154049</x:v>
      </x:c>
      <x:c r="H97" s="83">
        <x:f>IFERROR(H98/H52,"")</x:f>
        <x:v>0.09066520369924509</x:v>
      </x:c>
      <x:c r="I97" s="83">
        <x:f>IFERROR(I98/I52,"")</x:f>
        <x:v>0.11115092404470113</x:v>
      </x:c>
      <x:c r="J97" s="83">
        <x:f>IFERROR(J98/J52,"")</x:f>
        <x:v>0.1398211332989524</x:v>
      </x:c>
      <x:c r="K97" s="16" t="inlineStr">
        <x:is>
          <x:t xml:space="preserve">Derived</x:t>
        </x:is>
      </x:c>
      <x:c r="L97" s="16" t="inlineStr">
        <x:is>
          <x:t xml:space="preserve">Medium</x:t>
        </x:is>
      </x:c>
      <x:c r="M97" s="16" t="inlineStr">
        <x:is>
          <x:t xml:space="preserve">Modeled margin from cost stack</x:t>
        </x:is>
      </x:c>
      <x:c r="N97" s="36" t="inlineStr">
        <x:is>
          <x:t xml:space="preserve">Calculated from EBITDA ÷ gross revenue.</x:t>
        </x:is>
      </x:c>
    </x:row>
    <x:row r="98">
      <x:c r="A98" s="40" t="n">
        <x:v>88</x:v>
      </x:c>
      <x:c r="B98" s="41" t="inlineStr">
        <x:is>
          <x:t xml:space="preserve">Valuation</x:t>
        </x:is>
      </x:c>
      <x:c r="C98" s="42" t="inlineStr">
        <x:is>
          <x:t xml:space="preserve">EBITDA</x:t>
        </x:is>
      </x:c>
      <x:c r="D98" s="41" t="inlineStr">
        <x:is>
          <x:t xml:space="preserve">$</x:t>
        </x:is>
      </x:c>
      <x:c r="E98" s="82">
        <x:f>E52-E99</x:f>
        <x:v>899263.7446153834</x:v>
      </x:c>
      <x:c r="F98" s="82">
        <x:f>F52-F99</x:f>
        <x:v>1112461.9187692292</x:v>
      </x:c>
      <x:c r="G98" s="82">
        <x:f>G52-G99</x:f>
        <x:v>733312.5169230774</x:v>
      </x:c>
      <x:c r="H98" s="82">
        <x:f>H52-H99</x:f>
        <x:v>943447.4639999997</x:v>
      </x:c>
      <x:c r="I98" s="82">
        <x:f>I52-I99</x:f>
        <x:v>1246049.3599999994</x:v>
      </x:c>
      <x:c r="J98" s="82">
        <x:f>J52-J99</x:f>
        <x:v>1682309</x:v>
      </x:c>
      <x:c r="K98" s="41" t="inlineStr">
        <x:is>
          <x:t xml:space="preserve">Derived</x:t>
        </x:is>
      </x:c>
      <x:c r="L98" s="41" t="inlineStr">
        <x:is>
          <x:t xml:space="preserve">Medium</x:t>
        </x:is>
      </x:c>
      <x:c r="M98" s="41" t="inlineStr">
        <x:is>
          <x:t xml:space="preserve">Gross revenue less modeled operating cost stack</x:t>
        </x:is>
      </x:c>
      <x:c r="N98" s="44" t="inlineStr">
        <x:is>
          <x:t xml:space="preserve">Operating earnings proxy excluding parent subsidy.</x:t>
        </x:is>
      </x:c>
    </x:row>
    <x:row r="99">
      <x:c r="A99" s="40" t="n">
        <x:v>89</x:v>
      </x:c>
      <x:c r="B99" s="41" t="inlineStr">
        <x:is>
          <x:t xml:space="preserve">Valuation</x:t>
        </x:is>
      </x:c>
      <x:c r="C99" s="41" t="inlineStr">
        <x:is>
          <x:t xml:space="preserve">Operating expenses (modeled)</x:t>
        </x:is>
      </x:c>
      <x:c r="D99" s="41" t="inlineStr">
        <x:is>
          <x:t xml:space="preserve">$</x:t>
        </x:is>
      </x:c>
      <x:c r="E99" s="82">
        <x:f>ROUND(E58+E61+E62+E63+E71+(E72*90000)+E73+E75+E78+E79+E67+(E52*0.22),0)</x:f>
        <x:v>7558767</x:v>
      </x:c>
      <x:c r="F99" s="82">
        <x:f>ROUND(F58+F61+F62+F63+F71+(F72*90000)+F73+F75+F78+F79+F67+(F52*0.22),0)</x:f>
        <x:v>7841977</x:v>
      </x:c>
      <x:c r="G99" s="82">
        <x:f>ROUND(G58+G61+G62+G63+G71+(G72*90000)+G73+G75+G78+G79+G67+(G52*0.22),0)</x:f>
        <x:v>9038519</x:v>
      </x:c>
      <x:c r="H99" s="82">
        <x:f>ROUND(H58+H61+H62+H63+H71+(H72*90000)+H73+H75+H78+H79+H67+(H52*0.22),0)</x:f>
        <x:v>9462391</x:v>
      </x:c>
      <x:c r="I99" s="82">
        <x:f>ROUND(I58+I61+I62+I63+I71+(I72*90000)+I73+I75+I78+I79+I67+(I52*0.22),0)</x:f>
        <x:v>9964378</x:v>
      </x:c>
      <x:c r="J99" s="82">
        <x:f>ROUND(J58+J61+J62+J63+J71+(J72*90000)+J73+J75+J78+J79+J67+(J52*0.22),0)</x:f>
        <x:v>10349556</x:v>
      </x:c>
      <x:c r="K99" s="41" t="inlineStr">
        <x:is>
          <x:t xml:space="preserve">Derived</x:t>
        </x:is>
      </x:c>
      <x:c r="L99" s="41" t="inlineStr">
        <x:is>
          <x:t xml:space="preserve">Medium</x:t>
        </x:is>
      </x:c>
      <x:c r="M99" s="41" t="inlineStr">
        <x:is>
          <x:t xml:space="preserve">Modeled cost stack</x:t>
        </x:is>
      </x:c>
      <x:c r="N99" s="44" t="inlineStr">
        <x:is>
          <x:t xml:space="preserve">Includes base rent, security, utilities, load-in, coaching, FO, medical, travel/housing proxy, insurance, equipment, tax, and other overhead.</x:t>
        </x:is>
      </x:c>
    </x:row>
    <x:row r="100">
      <x:c r="A100" s="2" t="n">
        <x:v>90</x:v>
      </x:c>
      <x:c r="B100" s="16" t="inlineStr">
        <x:is>
          <x:t xml:space="preserve">Valuation</x:t>
        </x:is>
      </x:c>
      <x:c r="C100" s="16" t="inlineStr">
        <x:is>
          <x:t xml:space="preserve">Operating expense ratio</x:t>
        </x:is>
      </x:c>
      <x:c r="D100" s="16" t="inlineStr">
        <x:is>
          <x:t xml:space="preserve">pct</x:t>
        </x:is>
      </x:c>
      <x:c r="E100" s="83">
        <x:f>IFERROR(E99/E52,"")</x:f>
        <x:v>0.893679300564392</x:v>
      </x:c>
      <x:c r="F100" s="83">
        <x:f>IFERROR(F99/F52,"")</x:f>
        <x:v>0.875764195963477</x:v>
      </x:c>
      <x:c r="G100" s="83">
        <x:f>IFERROR(G99/G52,"")</x:f>
        <x:v>0.9249564919684595</x:v>
      </x:c>
      <x:c r="H100" s="83">
        <x:f>IFERROR(H99/H52,"")</x:f>
        <x:v>0.9093347963007549</x:v>
      </x:c>
      <x:c r="I100" s="83">
        <x:f>IFERROR(I99/I52,"")</x:f>
        <x:v>0.8888490759552988</x:v>
      </x:c>
      <x:c r="J100" s="83">
        <x:f>IFERROR(J99/J52,"")</x:f>
        <x:v>0.8601788667010476</x:v>
      </x:c>
      <x:c r="K100" s="16" t="inlineStr">
        <x:is>
          <x:t xml:space="preserve">Derived</x:t>
        </x:is>
      </x:c>
      <x:c r="L100" s="16" t="inlineStr">
        <x:is>
          <x:t xml:space="preserve">Medium</x:t>
        </x:is>
      </x:c>
      <x:c r="M100" s="16" t="inlineStr">
        <x:is>
          <x:t xml:space="preserve">OpEx ÷ gross revenue</x:t>
        </x:is>
      </x:c>
      <x:c r="N100" s="36" t="inlineStr">
        <x:is>
          <x:t xml:space="preserve">Team-level modeled expense ratio.</x:t>
        </x:is>
      </x:c>
    </x:row>
    <x:row r="101">
      <x:c r="A101" s="2" t="n">
        <x:v>91</x:v>
      </x:c>
      <x:c r="B101" s="16" t="inlineStr">
        <x:is>
          <x:t xml:space="preserve">Valuation</x:t>
        </x:is>
      </x:c>
      <x:c r="C101" s="16" t="inlineStr">
        <x:is>
          <x:t xml:space="preserve">Revenue multiple</x:t>
        </x:is>
      </x:c>
      <x:c r="D101" s="16" t="inlineStr">
        <x:is>
          <x:t xml:space="preserve">x</x:t>
        </x:is>
      </x:c>
      <x:c r="E101" s="47">
        <x:f>Assumptions!C84</x:f>
        <x:v>3.2</x:v>
      </x:c>
      <x:c r="F101" s="47">
        <x:f>Assumptions!D84</x:f>
        <x:v>3.2</x:v>
      </x:c>
      <x:c r="G101" s="47">
        <x:f>Assumptions!E84</x:f>
        <x:v>3.2</x:v>
      </x:c>
      <x:c r="H101" s="47">
        <x:f>Assumptions!F84</x:f>
        <x:v>3.2</x:v>
      </x:c>
      <x:c r="I101" s="47">
        <x:f>Assumptions!G84</x:f>
        <x:v>3.2</x:v>
      </x:c>
      <x:c r="J101" s="47">
        <x:f>Assumptions!H84</x:f>
        <x:v>3.2</x:v>
      </x:c>
      <x:c r="K101" s="16" t="inlineStr">
        <x:is>
          <x:t xml:space="preserve">Control</x:t>
        </x:is>
      </x:c>
      <x:c r="L101" s="16" t="inlineStr">
        <x:is>
          <x:t xml:space="preserve">Medium</x:t>
        </x:is>
      </x:c>
      <x:c r="M101" s="16" t="inlineStr">
        <x:is>
          <x:t xml:space="preserve">User assumption</x:t>
        </x:is>
      </x:c>
      <x:c r="N101" s="36" t="inlineStr">
        <x:is>
          <x:t xml:space="preserve">Valuation multiple.</x:t>
        </x:is>
      </x:c>
    </x:row>
    <x:row r="102">
      <x:c r="A102" s="40" t="n">
        <x:v>92</x:v>
      </x:c>
      <x:c r="B102" s="41" t="inlineStr">
        <x:is>
          <x:t xml:space="preserve">Valuation</x:t>
        </x:is>
      </x:c>
      <x:c r="C102" s="42" t="inlineStr">
        <x:is>
          <x:t xml:space="preserve">Implied franchise valuation</x:t>
        </x:is>
      </x:c>
      <x:c r="D102" s="41" t="inlineStr">
        <x:is>
          <x:t xml:space="preserve">$</x:t>
        </x:is>
      </x:c>
      <x:c r="E102" s="82">
        <x:f>E52*E101</x:f>
        <x:v>27065698.382769227</x:v>
      </x:c>
      <x:c r="F102" s="82">
        <x:f>F52*F101</x:f>
        <x:v>28654204.540061533</x:v>
      </x:c>
      <x:c r="G102" s="82">
        <x:f>G52*G101</x:f>
        <x:v>31269860.85415385</x:v>
      </x:c>
      <x:c r="H102" s="82">
        <x:f>H52*H101</x:f>
        <x:v>33298683.0848</x:v>
      </x:c>
      <x:c r="I102" s="82">
        <x:f>I52*I101</x:f>
        <x:v>35873367.552</x:v>
      </x:c>
      <x:c r="J102" s="82">
        <x:f>J52*J101</x:f>
        <x:v>38501968</x:v>
      </x:c>
      <x:c r="K102" s="41" t="inlineStr">
        <x:is>
          <x:t xml:space="preserve">Derived</x:t>
        </x:is>
      </x:c>
      <x:c r="L102" s="41" t="inlineStr">
        <x:is>
          <x:t xml:space="preserve">Medium</x:t>
        </x:is>
      </x:c>
      <x:c r="M102" s="41" t="inlineStr">
        <x:is>
          <x:t xml:space="preserve">Gross revenue × 3.2x multiple</x:t>
        </x:is>
      </x:c>
      <x:c r="N102" s="44" t="inlineStr">
        <x:is>
          <x:t xml:space="preserve">User-specified multiple applied to gross revenue.</x:t>
        </x:is>
      </x:c>
    </x:row>
  </x:sheetData>
  <x:mergeCells>
    <x:mergeCell ref="A55:N55"/>
    <x:mergeCell ref="A69:N69"/>
    <x:mergeCell ref="A96:N96"/>
    <x:mergeCell ref="A2:N2"/>
    <x:mergeCell ref="A30:N30"/>
    <x:mergeCell ref="A81:N81"/>
    <x:mergeCell ref="A5:N5"/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8" customWidth="1"/>
    <x:col min="3" max="3" width="18" customWidth="1"/>
    <x:col min="4" max="4" width="20" customWidth="1"/>
    <x:col min="5" max="5" width="3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</x:cols>
  <x:sheetData>
    <x:row r="1">
      <x:c r="A1" s="1" t="inlineStr">
        <x:is>
          <x:t xml:space="preserve">2026-27 Projection Upside — Revenue, EBITDA &amp; Value Creation Levers</x:t>
        </x:is>
      </x:c>
    </x:row>
    <x:row r="2">
      <x:c r="A2" s="2" t="inlineStr">
        <x:is>
          <x:t xml:space="preserve">Baseline uses the Master_Model. Scenario columns show how disciplined operations, pricing, sponsorship and digital execution can move the club to a higher operating ceiling.</x:t>
        </x:is>
      </x:c>
    </x:row>
    <x:row r="4">
      <x:c r="A4" s="3" t="inlineStr">
        <x:is>
          <x:t xml:space="preserve">Baseline Revenue</x:t>
        </x:is>
      </x:c>
      <x:c r="D4" s="3" t="inlineStr">
        <x:is>
          <x:t xml:space="preserve">Baseline EBITDA</x:t>
        </x:is>
      </x:c>
      <x:c r="G4" s="3" t="inlineStr">
        <x:is>
          <x:t xml:space="preserve">Baseline Valuation</x:t>
        </x:is>
      </x:c>
      <x:c r="J4" s="3" t="inlineStr">
        <x:is>
          <x:t xml:space="preserve">Baseline Attendance</x:t>
        </x:is>
      </x:c>
    </x:row>
    <x:row r="5">
      <x:c r="A5" s="84">
        <x:f>Master_Model!J52</x:f>
        <x:v>12031865</x:v>
      </x:c>
      <x:c r="D5" s="84">
        <x:f>Master_Model!J98</x:f>
        <x:v>1682309</x:v>
      </x:c>
      <x:c r="G5" s="84">
        <x:f>Master_Model!J102</x:f>
        <x:v>38501968</x:v>
      </x:c>
      <x:c r="J5" s="85">
        <x:f>Master_Model!J6</x:f>
        <x:v>7625</x:v>
      </x:c>
    </x:row>
    <x:row r="6"/>
    <x:row r="8">
      <x:c r="A8" s="50" t="inlineStr">
        <x:is>
          <x:t xml:space="preserve">Lever / Output</x:t>
        </x:is>
      </x:c>
      <x:c r="B8" s="50" t="inlineStr">
        <x:is>
          <x:t xml:space="preserve">Efficiency / Ops</x:t>
        </x:is>
      </x:c>
      <x:c r="C8" s="50" t="inlineStr">
        <x:is>
          <x:t xml:space="preserve">Sales &amp; Retention</x:t>
        </x:is>
      </x:c>
      <x:c r="D8" s="50" t="inlineStr">
        <x:is>
          <x:t xml:space="preserve">Premium + Sponsorship</x:t>
        </x:is>
      </x:c>
      <x:c r="F8" s="50" t="inlineStr">
        <x:is>
          <x:t xml:space="preserve">Recommended Actions to Push the Curve Higher</x:t>
        </x:is>
      </x:c>
    </x:row>
    <x:row r="9" ht="50" customHeight="1">
      <x:c r="A9" s="16" t="inlineStr">
        <x:is>
          <x:t xml:space="preserve">Attendance uplift</x:t>
        </x:is>
      </x:c>
      <x:c r="B9" s="64" t="n">
        <x:v>0.02</x:v>
      </x:c>
      <x:c r="C9" s="64" t="n">
        <x:v>0.04</x:v>
      </x:c>
      <x:c r="D9" s="64" t="n">
        <x:v>0.06</x:v>
      </x:c>
      <x:c r="F9" s="8" t="inlineStr">
        <x:is>
          <x:t xml:space="preserve">1) OPERATIONS / CRM CLEAN-UP
• Remove stale ticket copy and unify current-season pricing across pages.
• Standardize lead-source tagging and post-game follow-up windows.
• Weekly dashboard: STM churn, second-game conversion, group close rate, per-cap spend.</x:t>
        </x:is>
      </x:c>
    </x:row>
    <x:row r="10" ht="24" customHeight="1">
      <x:c r="A10" s="16" t="inlineStr">
        <x:is>
          <x:t xml:space="preserve">WATP uplift</x:t>
        </x:is>
      </x:c>
      <x:c r="B10" s="64" t="n">
        <x:v>0.015</x:v>
      </x:c>
      <x:c r="C10" s="64" t="n">
        <x:v>0.025</x:v>
      </x:c>
      <x:c r="D10" s="64" t="n">
        <x:v>0.04</x:v>
      </x:c>
    </x:row>
    <x:row r="11" ht="24" customHeight="1">
      <x:c r="A11" s="16" t="inlineStr">
        <x:is>
          <x:t xml:space="preserve">Per-cap uplift</x:t>
        </x:is>
      </x:c>
      <x:c r="B11" s="64" t="n">
        <x:v>0.03</x:v>
      </x:c>
      <x:c r="C11" s="64" t="n">
        <x:v>0.05</x:v>
      </x:c>
      <x:c r="D11" s="64" t="n">
        <x:v>0.07000000000000001</x:v>
      </x:c>
    </x:row>
    <x:row r="12" ht="24" customHeight="1">
      <x:c r="A12" s="16" t="inlineStr">
        <x:is>
          <x:t xml:space="preserve">Sponsorship uplift</x:t>
        </x:is>
      </x:c>
      <x:c r="B12" s="64" t="n">
        <x:v>0.04</x:v>
      </x:c>
      <x:c r="C12" s="64" t="n">
        <x:v>0.08</x:v>
      </x:c>
      <x:c r="D12" s="64" t="n">
        <x:v>0.12</x:v>
      </x:c>
    </x:row>
    <x:row r="13" ht="50" customHeight="1">
      <x:c r="A13" s="16" t="inlineStr">
        <x:is>
          <x:t xml:space="preserve">EBITDA margin uplift</x:t>
        </x:is>
      </x:c>
      <x:c r="B13" s="64" t="n">
        <x:v>0.003</x:v>
      </x:c>
      <x:c r="C13" s="64" t="n">
        <x:v>0.006</x:v>
      </x:c>
      <x:c r="D13" s="64" t="n">
        <x:v>0.01</x:v>
      </x:c>
      <x:c r="F13" s="8" t="inlineStr">
        <x:is>
          <x:t xml:space="preserve">2) SALES &amp; RETENTION ENGINE
• Build first-game-to-second-game journeys for single-game, student and family-pack buyers.
• Expand military, youth sports and corporate group calendars around promo nights.
• Tighten STM save offers 60–90 days before renewal deadlines.</x:t>
        </x:is>
      </x:c>
    </x:row>
    <x:row r="14" ht="24" customHeight="1"/>
    <x:row r="15" ht="24" customHeight="1"/>
    <x:row r="16" ht="24" customHeight="1">
      <x:c r="A16" s="50" t="inlineStr">
        <x:is>
          <x:t xml:space="preserve">Lever / Output</x:t>
        </x:is>
      </x:c>
      <x:c r="B16" s="50" t="inlineStr">
        <x:is>
          <x:t xml:space="preserve">Efficiency / Ops</x:t>
        </x:is>
      </x:c>
      <x:c r="C16" s="50" t="inlineStr">
        <x:is>
          <x:t xml:space="preserve">Sales &amp; Retention</x:t>
        </x:is>
      </x:c>
      <x:c r="D16" s="50" t="inlineStr">
        <x:is>
          <x:t xml:space="preserve">Premium + Sponsorship</x:t>
        </x:is>
      </x:c>
    </x:row>
    <x:row r="17" ht="50" customHeight="1">
      <x:c r="A17" s="16" t="inlineStr">
        <x:is>
          <x:t xml:space="preserve">Projected attendance</x:t>
        </x:is>
      </x:c>
      <x:c r="B17" s="75">
        <x:f>ROUND(Master_Model!J6*(1+B9),0)</x:f>
        <x:v>7778</x:v>
      </x:c>
      <x:c r="C17" s="75">
        <x:f>ROUND(Master_Model!J6*(1+C9),0)</x:f>
        <x:v>7930</x:v>
      </x:c>
      <x:c r="D17" s="75">
        <x:f>ROUND(Master_Model!J6*(1+D9),0)</x:f>
        <x:v>8083</x:v>
      </x:c>
      <x:c r="F17" s="8" t="inlineStr">
        <x:is>
          <x:t xml:space="preserve">3) PREMIUM / SPONSORSHIP / DIGITAL
• Package Stella Lounge, suites and premium parking into higher-yield bundles.
• Sell more digital presented-by inventory across app, email and social.
• Expand bar-network and watch-party capture into lead generation, not just branding.</x:t>
        </x:is>
      </x:c>
    </x:row>
    <x:row r="18" ht="24" customHeight="1">
      <x:c r="A18" s="16" t="inlineStr">
        <x:is>
          <x:t xml:space="preserve">Projected WATP</x:t>
        </x:is>
      </x:c>
      <x:c r="B18" s="71">
        <x:f>Master_Model!J25*(1+B10)</x:f>
        <x:v>26.60315</x:v>
      </x:c>
      <x:c r="C18" s="71">
        <x:f>Master_Model!J25*(1+C10)</x:f>
        <x:v>26.86525</x:v>
      </x:c>
      <x:c r="D18" s="71">
        <x:f>Master_Model!J25*(1+D10)</x:f>
        <x:v>27.2584</x:v>
      </x:c>
    </x:row>
    <x:row r="19" ht="24" customHeight="1">
      <x:c r="A19" s="16" t="inlineStr">
        <x:is>
          <x:t xml:space="preserve">Projected per-cap</x:t>
        </x:is>
      </x:c>
      <x:c r="B19" s="71">
        <x:f>Master_Model!J44*(1+B11)</x:f>
        <x:v>21.321</x:v>
      </x:c>
      <x:c r="C19" s="71">
        <x:f>Master_Model!J44*(1+C11)</x:f>
        <x:v>21.735</x:v>
      </x:c>
      <x:c r="D19" s="71">
        <x:f>Master_Model!J44*(1+D11)</x:f>
        <x:v>22.149</x:v>
      </x:c>
    </x:row>
    <x:row r="20" ht="24" customHeight="1">
      <x:c r="A20" s="16" t="inlineStr">
        <x:is>
          <x:t xml:space="preserve">Projected sponsorship</x:t>
        </x:is>
      </x:c>
      <x:c r="B20" s="80">
        <x:f>Master_Model!J45*(1+B12)</x:f>
        <x:v>3069144</x:v>
      </x:c>
      <x:c r="C20" s="80">
        <x:f>Master_Model!J45*(1+C12)</x:f>
        <x:v>3187188</x:v>
      </x:c>
      <x:c r="D20" s="80">
        <x:f>Master_Model!J45*(1+D12)</x:f>
        <x:v>3305232.0000000005</x:v>
      </x:c>
    </x:row>
    <x:row r="21">
      <x:c r="A21" s="16" t="inlineStr">
        <x:is>
          <x:t xml:space="preserve">Incremental gate revenue</x:t>
        </x:is>
      </x:c>
      <x:c r="B21" s="80">
        <x:f>(B17*Master_Model!J7*B18)-Master_Model!J31</x:f>
        <x:v>254449.82519999985</x:v>
      </x:c>
      <x:c r="C21" s="80">
        <x:f>(C17*Master_Model!J7*C18)-Master_Model!J31</x:f>
        <x:v>474846.5700000003</x:v>
      </x:c>
      <x:c r="D21" s="80">
        <x:f>(D17*Master_Model!J7*D18)-Master_Model!J31</x:f>
        <x:v>737222.2992000002</x:v>
      </x:c>
    </x:row>
    <x:row r="22">
      <x:c r="A22" s="16" t="inlineStr">
        <x:is>
          <x:t xml:space="preserve">Incremental ancillary revenue</x:t>
        </x:is>
      </x:c>
      <x:c r="B22" s="80">
        <x:f>(B17*Master_Model!J7*B19)-(Master_Model!J8*Master_Model!J44)</x:f>
        <x:v>287900.56799999997</x:v>
      </x:c>
      <x:c r="C22" s="80">
        <x:f>(C17*Master_Model!J7*C19)-(Master_Model!J8*Master_Model!J44)</x:f>
        <x:v>522757.7999999998</x:v>
      </x:c>
      <x:c r="D22" s="80">
        <x:f>(D17*Master_Model!J7*D19)-(Master_Model!J8*Master_Model!J44)</x:f>
        <x:v>762943.2120000003</x:v>
      </x:c>
    </x:row>
    <x:row r="23">
      <x:c r="A23" s="16" t="inlineStr">
        <x:is>
          <x:t xml:space="preserve">Incremental sponsorship</x:t>
        </x:is>
      </x:c>
      <x:c r="B23" s="80">
        <x:f>B20-Master_Model!J45</x:f>
        <x:v>118044</x:v>
      </x:c>
      <x:c r="C23" s="80">
        <x:f>C20-Master_Model!J45</x:f>
        <x:v>236088</x:v>
      </x:c>
      <x:c r="D23" s="80">
        <x:f>D20-Master_Model!J45</x:f>
        <x:v>354132.00000000047</x:v>
      </x:c>
    </x:row>
    <x:row r="24">
      <x:c r="A24" s="15" t="inlineStr">
        <x:is>
          <x:t xml:space="preserve">Total incremental revenue</x:t>
        </x:is>
      </x:c>
      <x:c r="B24" s="80">
        <x:f>SUM(B21:B23)</x:f>
        <x:v>660394.3931999998</x:v>
      </x:c>
      <x:c r="C24" s="80">
        <x:f>SUM(C21:C23)</x:f>
        <x:v>1233692.37</x:v>
      </x:c>
      <x:c r="D24" s="80">
        <x:f>SUM(D21:D23)</x:f>
        <x:v>1854297.511200001</x:v>
      </x:c>
    </x:row>
    <x:row r="25">
      <x:c r="A25" s="15" t="inlineStr">
        <x:is>
          <x:t xml:space="preserve">Projected total revenue</x:t>
        </x:is>
      </x:c>
      <x:c r="B25" s="80">
        <x:f>Master_Model!J52+B24</x:f>
        <x:v>12692259.393199999</x:v>
      </x:c>
      <x:c r="C25" s="80">
        <x:f>Master_Model!J52+C24</x:f>
        <x:v>13265557.370000001</x:v>
      </x:c>
      <x:c r="D25" s="80">
        <x:f>Master_Model!J52+D24</x:f>
        <x:v>13886162.511200001</x:v>
      </x:c>
    </x:row>
    <x:row r="26">
      <x:c r="A26" s="15" t="inlineStr">
        <x:is>
          <x:t xml:space="preserve">Projected EBITDA</x:t>
        </x:is>
      </x:c>
      <x:c r="B26" s="80">
        <x:f>B25*(Master_Model!J97+B13)</x:f>
        <x:v>1812722.8706610978</x:v>
      </x:c>
      <x:c r="C26" s="80">
        <x:f>C25*(Master_Model!J97+C13)</x:f>
        <x:v>1934398.6095356706</x:v>
      </x:c>
      <x:c r="D26" s="80">
        <x:f>D25*(Master_Model!J97+D13)</x:f>
        <x:v>2080440.6046014111</x:v>
      </x:c>
    </x:row>
    <x:row r="27">
      <x:c r="A27" s="15" t="inlineStr">
        <x:is>
          <x:t xml:space="preserve">Projected valuation</x:t>
        </x:is>
      </x:c>
      <x:c r="B27" s="80">
        <x:f>B25*Master_Model!J101</x:f>
        <x:v>40615230.05824</x:v>
      </x:c>
      <x:c r="C27" s="80">
        <x:f>C25*Master_Model!J101</x:f>
        <x:v>42449783.58400001</x:v>
      </x:c>
      <x:c r="D27" s="80">
        <x:f>D25*Master_Model!J101</x:f>
        <x:v>44435720.035840005</x:v>
      </x:c>
    </x:row>
  </x:sheetData>
  <x:mergeCells>
    <x:mergeCell ref="A2:L2"/>
    <x:mergeCell ref="F9:L12"/>
    <x:mergeCell ref="F8:L8"/>
    <x:mergeCell ref="D5:F6"/>
    <x:mergeCell ref="A5:C6"/>
    <x:mergeCell ref="G5:I6"/>
    <x:mergeCell ref="A1:L1"/>
    <x:mergeCell ref="D4:F4"/>
    <x:mergeCell ref="F13:L16"/>
    <x:mergeCell ref="J5:L6"/>
    <x:mergeCell ref="G4:I4"/>
    <x:mergeCell ref="F17:L20"/>
    <x:mergeCell ref="J4:L4"/>
    <x:mergeCell ref="A4:C4"/>
  </x:mergeCells>
  <x:pageMargins left="0.7" right="0.7" top="0.75" bottom="0.75" header="0.3" footer="0.3"/>
  <x:drawing xmlns:r="http://schemas.openxmlformats.org/officeDocument/2006/relationships" r:id="R04068bc10aff4701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36" customWidth="1"/>
    <x:col min="2" max="2" width="16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44" customWidth="1"/>
    <x:col min="11" max="11" width="16" customWidth="1"/>
  </x:cols>
  <x:sheetData>
    <x:row r="1">
      <x:c r="A1" s="50" t="inlineStr">
        <x:is>
          <x:t xml:space="preserve">Metric</x:t>
        </x:is>
      </x:c>
      <x:c r="B1" s="50" t="inlineStr">
        <x:is>
          <x:t xml:space="preserve">Category</x:t>
        </x:is>
      </x:c>
      <x:c r="C1" s="50" t="inlineStr">
        <x:is>
          <x:t xml:space="preserve">2021-22</x:t>
        </x:is>
      </x:c>
      <x:c r="D1" s="50" t="inlineStr">
        <x:is>
          <x:t xml:space="preserve">2022-23</x:t>
        </x:is>
      </x:c>
      <x:c r="E1" s="50" t="inlineStr">
        <x:is>
          <x:t xml:space="preserve">2023-24</x:t>
        </x:is>
      </x:c>
      <x:c r="F1" s="50" t="inlineStr">
        <x:is>
          <x:t xml:space="preserve">2024-25</x:t>
        </x:is>
      </x:c>
      <x:c r="G1" s="50" t="inlineStr">
        <x:is>
          <x:t xml:space="preserve">2025-26</x:t>
        </x:is>
      </x:c>
      <x:c r="H1" s="50" t="inlineStr">
        <x:is>
          <x:t xml:space="preserve">2026-27</x:t>
        </x:is>
      </x:c>
      <x:c r="I1" s="50" t="inlineStr">
        <x:is>
          <x:t xml:space="preserve">Unit</x:t>
        </x:is>
      </x:c>
      <x:c r="J1" s="50" t="inlineStr">
        <x:is>
          <x:t xml:space="preserve">Source / Method</x:t>
        </x:is>
      </x:c>
      <x:c r="K1" s="50" t="inlineStr">
        <x:is>
          <x:t xml:space="preserve">Status</x:t>
        </x:is>
      </x:c>
    </x:row>
    <x:row r="2">
      <x:c r="A2" s="51" t="inlineStr">
        <x:is>
          <x:t xml:space="preserve">2026-27 attendance growth assumption</x:t>
        </x:is>
      </x:c>
      <x:c r="B2" s="51" t="inlineStr">
        <x:is>
          <x:t xml:space="preserve">CONTROL</x:t>
        </x:is>
      </x:c>
      <x:c r="C2" s="63" t="n"/>
      <x:c r="D2" s="63" t="n"/>
      <x:c r="E2" s="63" t="n"/>
      <x:c r="F2" s="63" t="n"/>
      <x:c r="G2" s="63" t="n"/>
      <x:c r="H2" s="86" t="n">
        <x:v>0.03</x:v>
      </x:c>
      <x:c r="I2" s="51" t="inlineStr">
        <x:is>
          <x:t xml:space="preserve">pct</x:t>
        </x:is>
      </x:c>
      <x:c r="J2" s="51" t="inlineStr">
        <x:is>
          <x:t xml:space="preserve">Model control</x:t>
        </x:is>
      </x:c>
      <x:c r="K2" s="51" t="inlineStr">
        <x:is>
          <x:t xml:space="preserve">Control</x:t>
        </x:is>
      </x:c>
    </x:row>
    <x:row r="3">
      <x:c r="A3" s="51" t="inlineStr">
        <x:is>
          <x:t xml:space="preserve">2026-27 WATP growth assumption</x:t>
        </x:is>
      </x:c>
      <x:c r="B3" s="51" t="inlineStr">
        <x:is>
          <x:t xml:space="preserve">CONTROL</x:t>
        </x:is>
      </x:c>
      <x:c r="C3" s="63" t="n"/>
      <x:c r="D3" s="63" t="n"/>
      <x:c r="E3" s="63" t="n"/>
      <x:c r="F3" s="63" t="n"/>
      <x:c r="G3" s="63" t="n"/>
      <x:c r="H3" s="86" t="n">
        <x:v>0.032</x:v>
      </x:c>
      <x:c r="I3" s="51" t="inlineStr">
        <x:is>
          <x:t xml:space="preserve">pct</x:t>
        </x:is>
      </x:c>
      <x:c r="J3" s="51" t="inlineStr">
        <x:is>
          <x:t xml:space="preserve">Model control</x:t>
        </x:is>
      </x:c>
      <x:c r="K3" s="51" t="inlineStr">
        <x:is>
          <x:t xml:space="preserve">Control</x:t>
        </x:is>
      </x:c>
    </x:row>
    <x:row r="4">
      <x:c r="A4" s="51" t="inlineStr">
        <x:is>
          <x:t xml:space="preserve">2026-27 sponsorship growth assumption</x:t>
        </x:is>
      </x:c>
      <x:c r="B4" s="51" t="inlineStr">
        <x:is>
          <x:t xml:space="preserve">CONTROL</x:t>
        </x:is>
      </x:c>
      <x:c r="C4" s="63" t="n"/>
      <x:c r="D4" s="63" t="n"/>
      <x:c r="E4" s="63" t="n"/>
      <x:c r="F4" s="63" t="n"/>
      <x:c r="G4" s="63" t="n"/>
      <x:c r="H4" s="86" t="n">
        <x:v>0.093</x:v>
      </x:c>
      <x:c r="I4" s="51" t="inlineStr">
        <x:is>
          <x:t xml:space="preserve">pct</x:t>
        </x:is>
      </x:c>
      <x:c r="J4" s="51" t="inlineStr">
        <x:is>
          <x:t xml:space="preserve">Model control</x:t>
        </x:is>
      </x:c>
      <x:c r="K4" s="51" t="inlineStr">
        <x:is>
          <x:t xml:space="preserve">Control</x:t>
        </x:is>
      </x:c>
    </x:row>
    <x:row r="5">
      <x:c r="A5" s="51" t="inlineStr">
        <x:is>
          <x:t xml:space="preserve">2026-27 per-cap F&amp;B growth assumption</x:t>
        </x:is>
      </x:c>
      <x:c r="B5" s="51" t="inlineStr">
        <x:is>
          <x:t xml:space="preserve">CONTROL</x:t>
        </x:is>
      </x:c>
      <x:c r="C5" s="63" t="n"/>
      <x:c r="D5" s="63" t="n"/>
      <x:c r="E5" s="63" t="n"/>
      <x:c r="F5" s="63" t="n"/>
      <x:c r="G5" s="63" t="n"/>
      <x:c r="H5" s="86" t="n">
        <x:v>0.032</x:v>
      </x:c>
      <x:c r="I5" s="51" t="inlineStr">
        <x:is>
          <x:t xml:space="preserve">pct</x:t>
        </x:is>
      </x:c>
      <x:c r="J5" s="51" t="inlineStr">
        <x:is>
          <x:t xml:space="preserve">Model control</x:t>
        </x:is>
      </x:c>
      <x:c r="K5" s="51" t="inlineStr">
        <x:is>
          <x:t xml:space="preserve">Control</x:t>
        </x:is>
      </x:c>
    </x:row>
    <x:row r="6">
      <x:c r="A6" s="51" t="inlineStr">
        <x:is>
          <x:t xml:space="preserve">2026-27 merch per-cap growth assumption</x:t>
        </x:is>
      </x:c>
      <x:c r="B6" s="51" t="inlineStr">
        <x:is>
          <x:t xml:space="preserve">CONTROL</x:t>
        </x:is>
      </x:c>
      <x:c r="C6" s="63" t="n"/>
      <x:c r="D6" s="63" t="n"/>
      <x:c r="E6" s="63" t="n"/>
      <x:c r="F6" s="63" t="n"/>
      <x:c r="G6" s="63" t="n"/>
      <x:c r="H6" s="86" t="n">
        <x:v>0.044</x:v>
      </x:c>
      <x:c r="I6" s="51" t="inlineStr">
        <x:is>
          <x:t xml:space="preserve">pct</x:t>
        </x:is>
      </x:c>
      <x:c r="J6" s="51" t="inlineStr">
        <x:is>
          <x:t xml:space="preserve">Model control</x:t>
        </x:is>
      </x:c>
      <x:c r="K6" s="51" t="inlineStr">
        <x:is>
          <x:t xml:space="preserve">Control</x:t>
        </x:is>
      </x:c>
    </x:row>
    <x:row r="7">
      <x:c r="A7" s="51" t="inlineStr">
        <x:is>
          <x:t xml:space="preserve">2026-27 STM price growth assumption</x:t>
        </x:is>
      </x:c>
      <x:c r="B7" s="51" t="inlineStr">
        <x:is>
          <x:t xml:space="preserve">CONTROL</x:t>
        </x:is>
      </x:c>
      <x:c r="C7" s="63" t="n"/>
      <x:c r="D7" s="63" t="n"/>
      <x:c r="E7" s="63" t="n"/>
      <x:c r="F7" s="63" t="n"/>
      <x:c r="G7" s="63" t="n"/>
      <x:c r="H7" s="86" t="n">
        <x:v>0.03</x:v>
      </x:c>
      <x:c r="I7" s="51" t="inlineStr">
        <x:is>
          <x:t xml:space="preserve">pct</x:t>
        </x:is>
      </x:c>
      <x:c r="J7" s="51" t="inlineStr">
        <x:is>
          <x:t xml:space="preserve">Model control</x:t>
        </x:is>
      </x:c>
      <x:c r="K7" s="51" t="inlineStr">
        <x:is>
          <x:t xml:space="preserve">Control</x:t>
        </x:is>
      </x:c>
    </x:row>
    <x:row r="8">
      <x:c r="A8" s="51" t="inlineStr">
        <x:is>
          <x:t xml:space="preserve">2026-27 single-game price growth assumption</x:t>
        </x:is>
      </x:c>
      <x:c r="B8" s="51" t="inlineStr">
        <x:is>
          <x:t xml:space="preserve">CONTROL</x:t>
        </x:is>
      </x:c>
      <x:c r="C8" s="63" t="n"/>
      <x:c r="D8" s="63" t="n"/>
      <x:c r="E8" s="63" t="n"/>
      <x:c r="F8" s="63" t="n"/>
      <x:c r="G8" s="63" t="n"/>
      <x:c r="H8" s="86" t="n">
        <x:v>0.043</x:v>
      </x:c>
      <x:c r="I8" s="51" t="inlineStr">
        <x:is>
          <x:t xml:space="preserve">pct</x:t>
        </x:is>
      </x:c>
      <x:c r="J8" s="51" t="inlineStr">
        <x:is>
          <x:t xml:space="preserve">Model control</x:t>
        </x:is>
      </x:c>
      <x:c r="K8" s="51" t="inlineStr">
        <x:is>
          <x:t xml:space="preserve">Control</x:t>
        </x:is>
      </x:c>
    </x:row>
    <x:row r="9">
      <x:c r="A9" s="51" t="inlineStr">
        <x:is>
          <x:t xml:space="preserve">2026-27 website traffic growth assumption</x:t>
        </x:is>
      </x:c>
      <x:c r="B9" s="51" t="inlineStr">
        <x:is>
          <x:t xml:space="preserve">CONTROL</x:t>
        </x:is>
      </x:c>
      <x:c r="C9" s="63" t="n"/>
      <x:c r="D9" s="63" t="n"/>
      <x:c r="E9" s="63" t="n"/>
      <x:c r="F9" s="63" t="n"/>
      <x:c r="G9" s="63" t="n"/>
      <x:c r="H9" s="86" t="n">
        <x:v>0.08</x:v>
      </x:c>
      <x:c r="I9" s="51" t="inlineStr">
        <x:is>
          <x:t xml:space="preserve">pct</x:t>
        </x:is>
      </x:c>
      <x:c r="J9" s="51" t="inlineStr">
        <x:is>
          <x:t xml:space="preserve">Model control</x:t>
        </x:is>
      </x:c>
      <x:c r="K9" s="51" t="inlineStr">
        <x:is>
          <x:t xml:space="preserve">Control</x:t>
        </x:is>
      </x:c>
    </x:row>
    <x:row r="10">
      <x:c r="A10" s="51" t="inlineStr">
        <x:is>
          <x:t xml:space="preserve">Average attendance</x:t>
        </x:is>
      </x:c>
      <x:c r="B10" s="51" t="inlineStr">
        <x:is>
          <x:t xml:space="preserve">ATTENDANCE</x:t>
        </x:is>
      </x:c>
      <x:c r="C10" s="87" t="n">
        <x:v>6992</x:v>
      </x:c>
      <x:c r="D10" s="87" t="n">
        <x:v>6953</x:v>
      </x:c>
      <x:c r="E10" s="87" t="n">
        <x:v>7249</x:v>
      </x:c>
      <x:c r="F10" s="87" t="n">
        <x:v>7262</x:v>
      </x:c>
      <x:c r="G10" s="87" t="n">
        <x:v>7403</x:v>
      </x:c>
      <x:c r="H10" s="77" t="n"/>
      <x:c r="I10" s="51" t="inlineStr">
        <x:is>
          <x:t xml:space="preserve">fans/game</x:t>
        </x:is>
      </x:c>
      <x:c r="J10" s="51" t="inlineStr">
        <x:is>
          <x:t xml:space="preserve">https://www.hockeydb.com/stte/san-diego-gulls-11619.html</x:t>
        </x:is>
      </x:c>
      <x:c r="K10" s="51" t="inlineStr">
        <x:is>
          <x:t xml:space="preserve">Public/Projection</x:t>
        </x:is>
      </x:c>
    </x:row>
    <x:row r="11">
      <x:c r="A11" s="51" t="inlineStr">
        <x:is>
          <x:t xml:space="preserve">Home games</x:t>
        </x:is>
      </x:c>
      <x:c r="B11" s="51" t="inlineStr">
        <x:is>
          <x:t xml:space="preserve">ATTENDANCE</x:t>
        </x:is>
      </x:c>
      <x:c r="C11" s="87" t="n">
        <x:v>34</x:v>
      </x:c>
      <x:c r="D11" s="87" t="n">
        <x:v>36</x:v>
      </x:c>
      <x:c r="E11" s="87" t="n">
        <x:v>36</x:v>
      </x:c>
      <x:c r="F11" s="87" t="n">
        <x:v>36</x:v>
      </x:c>
      <x:c r="G11" s="87" t="n">
        <x:v>36</x:v>
      </x:c>
      <x:c r="H11" s="87" t="n">
        <x:v>36</x:v>
      </x:c>
      <x:c r="I11" s="51" t="inlineStr">
        <x:is>
          <x:t xml:space="preserve">games</x:t>
        </x:is>
      </x:c>
      <x:c r="J11" s="51" t="inlineStr">
        <x:is>
          <x:t xml:space="preserve">https://www.sandiegogulls.com/news/detail/san-diego-gulls-2021-22-schedule-announced</x:t>
        </x:is>
      </x:c>
      <x:c r="K11" s="51" t="inlineStr">
        <x:is>
          <x:t xml:space="preserve">Public</x:t>
        </x:is>
      </x:c>
    </x:row>
    <x:row r="12">
      <x:c r="A12" s="51" t="inlineStr">
        <x:is>
          <x:t xml:space="preserve">Hockey seating capacity</x:t>
        </x:is>
      </x:c>
      <x:c r="B12" s="51" t="inlineStr">
        <x:is>
          <x:t xml:space="preserve">VENUE</x:t>
        </x:is>
      </x:c>
      <x:c r="C12" s="87" t="n">
        <x:v>12920</x:v>
      </x:c>
      <x:c r="D12" s="87" t="n">
        <x:v>12920</x:v>
      </x:c>
      <x:c r="E12" s="87" t="n">
        <x:v>12920</x:v>
      </x:c>
      <x:c r="F12" s="87" t="n">
        <x:v>12920</x:v>
      </x:c>
      <x:c r="G12" s="87" t="n">
        <x:v>12920</x:v>
      </x:c>
      <x:c r="H12" s="87" t="n">
        <x:v>12920</x:v>
      </x:c>
      <x:c r="I12" s="51" t="inlineStr">
        <x:is>
          <x:t xml:space="preserve">seats</x:t>
        </x:is>
      </x:c>
      <x:c r="J12" s="51" t="inlineStr">
        <x:is>
          <x:t xml:space="preserve">https://www.sandiegogulls.com/assets/doc/2021-22-San-Diego-Gulls-Media-Guide-compressed-92470e4558.pdf</x:t>
        </x:is>
      </x:c>
      <x:c r="K12" s="51" t="inlineStr">
        <x:is>
          <x:t xml:space="preserve">Context</x:t>
        </x:is>
      </x:c>
    </x:row>
    <x:row r="13">
      <x:c r="A13" s="51" t="inlineStr">
        <x:is>
          <x:t xml:space="preserve">General venue capacity</x:t>
        </x:is>
      </x:c>
      <x:c r="B13" s="51" t="inlineStr">
        <x:is>
          <x:t xml:space="preserve">VENUE</x:t>
        </x:is>
      </x:c>
      <x:c r="C13" s="87" t="n">
        <x:v>14000</x:v>
      </x:c>
      <x:c r="D13" s="87" t="n">
        <x:v>14000</x:v>
      </x:c>
      <x:c r="E13" s="87" t="n">
        <x:v>14000</x:v>
      </x:c>
      <x:c r="F13" s="87" t="n">
        <x:v>14000</x:v>
      </x:c>
      <x:c r="G13" s="87" t="n">
        <x:v>14000</x:v>
      </x:c>
      <x:c r="H13" s="87" t="n">
        <x:v>14000</x:v>
      </x:c>
      <x:c r="I13" s="51" t="inlineStr">
        <x:is>
          <x:t xml:space="preserve">seats</x:t>
        </x:is>
      </x:c>
      <x:c r="J13" s="51" t="inlineStr">
        <x:is>
          <x:t xml:space="preserve">https://pechangaarenasd.com/about/</x:t>
        </x:is>
      </x:c>
      <x:c r="K13" s="51" t="inlineStr">
        <x:is>
          <x:t xml:space="preserve">Public</x:t>
        </x:is>
      </x:c>
    </x:row>
    <x:row r="14">
      <x:c r="A14" s="51" t="inlineStr">
        <x:is>
          <x:t xml:space="preserve">Home weekend dates</x:t>
        </x:is>
      </x:c>
      <x:c r="B14" s="51" t="inlineStr">
        <x:is>
          <x:t xml:space="preserve">SCHEDULE</x:t>
        </x:is>
      </x:c>
      <x:c r="C14" s="87" t="n">
        <x:v>23</x:v>
      </x:c>
      <x:c r="D14" s="87" t="n">
        <x:v>23</x:v>
      </x:c>
      <x:c r="E14" s="87" t="n">
        <x:v>26</x:v>
      </x:c>
      <x:c r="F14" s="87" t="n">
        <x:v>25</x:v>
      </x:c>
      <x:c r="G14" s="87" t="n">
        <x:v>25</x:v>
      </x:c>
      <x:c r="H14" s="87" t="n">
        <x:v>25</x:v>
      </x:c>
      <x:c r="I14" s="51" t="inlineStr">
        <x:is>
          <x:t xml:space="preserve">dates</x:t>
        </x:is>
      </x:c>
      <x:c r="J14" s="51" t="inlineStr">
        <x:is>
          <x:t xml:space="preserve">Multiple official schedule releases on sandiegogulls.com</x:t>
        </x:is>
      </x:c>
      <x:c r="K14" s="51" t="inlineStr">
        <x:is>
          <x:t xml:space="preserve">Public</x:t>
        </x:is>
      </x:c>
    </x:row>
    <x:row r="15">
      <x:c r="A15" s="51" t="inlineStr">
        <x:is>
          <x:t xml:space="preserve">Friday home games</x:t>
        </x:is>
      </x:c>
      <x:c r="B15" s="51" t="inlineStr">
        <x:is>
          <x:t xml:space="preserve">SCHEDULE</x:t>
        </x:is>
      </x:c>
      <x:c r="C15" s="87" t="n">
        <x:v>11</x:v>
      </x:c>
      <x:c r="D15" s="87" t="n">
        <x:v>12</x:v>
      </x:c>
      <x:c r="E15" s="87" t="n">
        <x:v>12</x:v>
      </x:c>
      <x:c r="F15" s="87" t="n">
        <x:v>9</x:v>
      </x:c>
      <x:c r="G15" s="87" t="n">
        <x:v>10</x:v>
      </x:c>
      <x:c r="H15" s="87" t="n">
        <x:v>10</x:v>
      </x:c>
      <x:c r="I15" s="51" t="inlineStr">
        <x:is>
          <x:t xml:space="preserve">games</x:t>
        </x:is>
      </x:c>
      <x:c r="J15" s="51" t="inlineStr">
        <x:is>
          <x:t xml:space="preserve">Multiple official schedule releases on sandiegogulls.com</x:t>
        </x:is>
      </x:c>
      <x:c r="K15" s="51" t="inlineStr">
        <x:is>
          <x:t xml:space="preserve">Public</x:t>
        </x:is>
      </x:c>
    </x:row>
    <x:row r="16">
      <x:c r="A16" s="51" t="inlineStr">
        <x:is>
          <x:t xml:space="preserve">Saturday home games</x:t>
        </x:is>
      </x:c>
      <x:c r="B16" s="51" t="inlineStr">
        <x:is>
          <x:t xml:space="preserve">SCHEDULE</x:t>
        </x:is>
      </x:c>
      <x:c r="C16" s="87" t="n">
        <x:v>11</x:v>
      </x:c>
      <x:c r="D16" s="87" t="n">
        <x:v>11</x:v>
      </x:c>
      <x:c r="E16" s="87" t="n">
        <x:v>12</x:v>
      </x:c>
      <x:c r="F16" s="87" t="n">
        <x:v>14</x:v>
      </x:c>
      <x:c r="G16" s="87" t="n">
        <x:v>10</x:v>
      </x:c>
      <x:c r="H16" s="87" t="n">
        <x:v>11</x:v>
      </x:c>
      <x:c r="I16" s="51" t="inlineStr">
        <x:is>
          <x:t xml:space="preserve">games</x:t>
        </x:is>
      </x:c>
      <x:c r="J16" s="51" t="inlineStr">
        <x:is>
          <x:t xml:space="preserve">Multiple official schedule releases on sandiegogulls.com</x:t>
        </x:is>
      </x:c>
      <x:c r="K16" s="51" t="inlineStr">
        <x:is>
          <x:t xml:space="preserve">Public/Projection</x:t>
        </x:is>
      </x:c>
    </x:row>
    <x:row r="17">
      <x:c r="A17" s="51" t="inlineStr">
        <x:is>
          <x:t xml:space="preserve">Sunday home games</x:t>
        </x:is>
      </x:c>
      <x:c r="B17" s="51" t="inlineStr">
        <x:is>
          <x:t xml:space="preserve">SCHEDULE</x:t>
        </x:is>
      </x:c>
      <x:c r="C17" s="87" t="n">
        <x:v>1</x:v>
      </x:c>
      <x:c r="D17" s="87" t="n">
        <x:v>1</x:v>
      </x:c>
      <x:c r="E17" s="87" t="n">
        <x:v>2</x:v>
      </x:c>
      <x:c r="F17" s="87" t="n">
        <x:v>2</x:v>
      </x:c>
      <x:c r="G17" s="87" t="n">
        <x:v>5</x:v>
      </x:c>
      <x:c r="H17" s="87" t="n">
        <x:v>4</x:v>
      </x:c>
      <x:c r="I17" s="51" t="inlineStr">
        <x:is>
          <x:t xml:space="preserve">games</x:t>
        </x:is>
      </x:c>
      <x:c r="J17" s="51" t="inlineStr">
        <x:is>
          <x:t xml:space="preserve">Multiple official schedule releases on sandiegogulls.com</x:t>
        </x:is>
      </x:c>
      <x:c r="K17" s="51" t="inlineStr">
        <x:is>
          <x:t xml:space="preserve">Public/Projection</x:t>
        </x:is>
      </x:c>
    </x:row>
    <x:row r="18">
      <x:c r="A18" s="51" t="inlineStr">
        <x:is>
          <x:t xml:space="preserve">Back-to-back sets</x:t>
        </x:is>
      </x:c>
      <x:c r="B18" s="51" t="inlineStr">
        <x:is>
          <x:t xml:space="preserve">SCHEDULE</x:t>
        </x:is>
      </x:c>
      <x:c r="C18" s="87" t="n">
        <x:v>24</x:v>
      </x:c>
      <x:c r="D18" s="87" t="n">
        <x:v>21</x:v>
      </x:c>
      <x:c r="E18" s="87" t="n">
        <x:v>18</x:v>
      </x:c>
      <x:c r="F18" s="87" t="n">
        <x:v>20</x:v>
      </x:c>
      <x:c r="G18" s="87" t="n">
        <x:v>22</x:v>
      </x:c>
      <x:c r="H18" s="87" t="n">
        <x:v>22</x:v>
      </x:c>
      <x:c r="I18" s="51" t="inlineStr">
        <x:is>
          <x:t xml:space="preserve">sets</x:t>
        </x:is>
      </x:c>
      <x:c r="J18" s="51" t="inlineStr">
        <x:is>
          <x:t xml:space="preserve">Multiple official schedule releases on sandiegogulls.com</x:t>
        </x:is>
      </x:c>
      <x:c r="K18" s="51" t="inlineStr">
        <x:is>
          <x:t xml:space="preserve">Public</x:t>
        </x:is>
      </x:c>
    </x:row>
    <x:row r="19">
      <x:c r="A19" s="51" t="inlineStr">
        <x:is>
          <x:t xml:space="preserve">Promotional/theme nights announced</x:t>
        </x:is>
      </x:c>
      <x:c r="B19" s="51" t="inlineStr">
        <x:is>
          <x:t xml:space="preserve">MARKETING</x:t>
        </x:is>
      </x:c>
      <x:c r="C19" s="87" t="n">
        <x:v>13</x:v>
      </x:c>
      <x:c r="D19" s="87" t="n">
        <x:v>15</x:v>
      </x:c>
      <x:c r="E19" s="87" t="n">
        <x:v>16</x:v>
      </x:c>
      <x:c r="F19" s="87" t="n">
        <x:v>23</x:v>
      </x:c>
      <x:c r="G19" s="87" t="n">
        <x:v>28</x:v>
      </x:c>
      <x:c r="H19" s="87" t="n">
        <x:v>30</x:v>
      </x:c>
      <x:c r="I19" s="51" t="inlineStr">
        <x:is>
          <x:t xml:space="preserve">nights</x:t>
        </x:is>
      </x:c>
      <x:c r="J19" s="51" t="inlineStr">
        <x:is>
          <x:t xml:space="preserve">Multiple official promo releases on sandiegogulls.com</x:t>
        </x:is>
      </x:c>
      <x:c r="K19" s="51" t="inlineStr">
        <x:is>
          <x:t xml:space="preserve">Public/Projection</x:t>
        </x:is>
      </x:c>
    </x:row>
    <x:row r="20">
      <x:c r="A20" s="51" t="inlineStr">
        <x:is>
          <x:t xml:space="preserve">Giveaway items announced</x:t>
        </x:is>
      </x:c>
      <x:c r="B20" s="51" t="inlineStr">
        <x:is>
          <x:t xml:space="preserve">MARKETING</x:t>
        </x:is>
      </x:c>
      <x:c r="C20" s="87" t="n">
        <x:v>7</x:v>
      </x:c>
      <x:c r="D20" s="87" t="n">
        <x:v>6</x:v>
      </x:c>
      <x:c r="E20" s="87" t="n">
        <x:v>10</x:v>
      </x:c>
      <x:c r="F20" s="87" t="n">
        <x:v>11</x:v>
      </x:c>
      <x:c r="G20" s="87" t="n">
        <x:v>5</x:v>
      </x:c>
      <x:c r="H20" s="87" t="n">
        <x:v>6</x:v>
      </x:c>
      <x:c r="I20" s="51" t="inlineStr">
        <x:is>
          <x:t xml:space="preserve">items</x:t>
        </x:is>
      </x:c>
      <x:c r="J20" s="51" t="inlineStr">
        <x:is>
          <x:t xml:space="preserve">Multiple official promo releases on sandiegogulls.com</x:t>
        </x:is>
      </x:c>
      <x:c r="K20" s="51" t="inlineStr">
        <x:is>
          <x:t xml:space="preserve">Public/Projection</x:t>
        </x:is>
      </x:c>
    </x:row>
    <x:row r="21">
      <x:c r="A21" s="51" t="inlineStr">
        <x:is>
          <x:t xml:space="preserve">Pregame tailgates</x:t>
        </x:is>
      </x:c>
      <x:c r="B21" s="51" t="inlineStr">
        <x:is>
          <x:t xml:space="preserve">MARKETING</x:t>
        </x:is>
      </x:c>
      <x:c r="C21" s="87" t="n">
        <x:v>6</x:v>
      </x:c>
      <x:c r="D21" s="87" t="n">
        <x:v>6</x:v>
      </x:c>
      <x:c r="E21" s="87" t="n">
        <x:v>7</x:v>
      </x:c>
      <x:c r="F21" s="87" t="n">
        <x:v>7</x:v>
      </x:c>
      <x:c r="G21" s="87" t="n">
        <x:v>7</x:v>
      </x:c>
      <x:c r="H21" s="87" t="n">
        <x:v>8</x:v>
      </x:c>
      <x:c r="I21" s="51" t="inlineStr">
        <x:is>
          <x:t xml:space="preserve">events</x:t>
        </x:is>
      </x:c>
      <x:c r="J21" s="51" t="inlineStr">
        <x:is>
          <x:t xml:space="preserve">Multiple official promo releases on sandiegogulls.com</x:t>
        </x:is>
      </x:c>
      <x:c r="K21" s="51" t="inlineStr">
        <x:is>
          <x:t xml:space="preserve">Public/Projection</x:t>
        </x:is>
      </x:c>
    </x:row>
    <x:row r="22">
      <x:c r="A22" s="51" t="inlineStr">
        <x:is>
          <x:t xml:space="preserve">STM entry price</x:t>
        </x:is>
      </x:c>
      <x:c r="B22" s="51" t="inlineStr">
        <x:is>
          <x:t xml:space="preserve">TICKETING</x:t>
        </x:is>
      </x:c>
      <x:c r="C22" s="88" t="n">
        <x:v>476</x:v>
      </x:c>
      <x:c r="D22" s="88" t="n">
        <x:v>540</x:v>
      </x:c>
      <x:c r="E22" s="88" t="n">
        <x:v>540</x:v>
      </x:c>
      <x:c r="F22" s="88" t="n">
        <x:v>560</x:v>
      </x:c>
      <x:c r="G22" s="88" t="n">
        <x:v>614</x:v>
      </x:c>
      <x:c r="H22" s="89" t="n"/>
      <x:c r="I22" s="51" t="inlineStr">
        <x:is>
          <x:t xml:space="preserve">$/seat</x:t>
        </x:is>
      </x:c>
      <x:c r="J22" s="51" t="inlineStr">
        <x:is>
          <x:t xml:space="preserve">Multiple official ticketing releases on sandiegogulls.com</x:t>
        </x:is>
      </x:c>
      <x:c r="K22" s="51" t="inlineStr">
        <x:is>
          <x:t xml:space="preserve">Public/Projection</x:t>
        </x:is>
      </x:c>
    </x:row>
    <x:row r="23">
      <x:c r="A23" s="51" t="inlineStr">
        <x:is>
          <x:t xml:space="preserve">Single-game floor (box office / public)</x:t>
        </x:is>
      </x:c>
      <x:c r="B23" s="51" t="inlineStr">
        <x:is>
          <x:t xml:space="preserve">TICKETING</x:t>
        </x:is>
      </x:c>
      <x:c r="C23" s="88" t="n">
        <x:v>19</x:v>
      </x:c>
      <x:c r="D23" s="88" t="n">
        <x:v>21</x:v>
      </x:c>
      <x:c r="E23" s="88" t="n">
        <x:v>20</x:v>
      </x:c>
      <x:c r="F23" s="88" t="n">
        <x:v>22</x:v>
      </x:c>
      <x:c r="G23" s="88" t="n">
        <x:v>23</x:v>
      </x:c>
      <x:c r="H23" s="89" t="n"/>
      <x:c r="I23" s="51" t="inlineStr">
        <x:is>
          <x:t xml:space="preserve">$/ticket</x:t>
        </x:is>
      </x:c>
      <x:c r="J23" s="51" t="inlineStr">
        <x:is>
          <x:t xml:space="preserve">Multiple official ticketing releases on sandiegogulls.com</x:t>
        </x:is>
      </x:c>
      <x:c r="K23" s="51" t="inlineStr">
        <x:is>
          <x:t xml:space="preserve">Public/Estimate/Projection</x:t>
        </x:is>
      </x:c>
    </x:row>
    <x:row r="24">
      <x:c r="A24" s="51" t="inlineStr">
        <x:is>
          <x:t xml:space="preserve">Single-game floor (online incl. fees)</x:t>
        </x:is>
      </x:c>
      <x:c r="B24" s="51" t="inlineStr">
        <x:is>
          <x:t xml:space="preserve">TICKETING</x:t>
        </x:is>
      </x:c>
      <x:c r="C24" s="89" t="n"/>
      <x:c r="D24" s="89" t="n"/>
      <x:c r="E24" s="89" t="n"/>
      <x:c r="F24" s="88" t="n">
        <x:v>27.5</x:v>
      </x:c>
      <x:c r="G24" s="88" t="n">
        <x:v>28.75</x:v>
      </x:c>
      <x:c r="H24" s="88" t="n">
        <x:v>29.75</x:v>
      </x:c>
      <x:c r="I24" s="51" t="inlineStr">
        <x:is>
          <x:t xml:space="preserve">$/ticket</x:t>
        </x:is>
      </x:c>
      <x:c r="J24" s="51" t="inlineStr">
        <x:is>
          <x:t xml:space="preserve">https://www.sandiegogulls.com/news/detail/single-game-tickets-available-now</x:t>
        </x:is>
      </x:c>
      <x:c r="K24" s="51" t="inlineStr">
        <x:is>
          <x:t xml:space="preserve">Estimate/Projection</x:t>
        </x:is>
      </x:c>
    </x:row>
    <x:row r="25">
      <x:c r="A25" s="51" t="inlineStr">
        <x:is>
          <x:t xml:space="preserve">College ticket price</x:t>
        </x:is>
      </x:c>
      <x:c r="B25" s="51" t="inlineStr">
        <x:is>
          <x:t xml:space="preserve">TICKETING</x:t>
        </x:is>
      </x:c>
      <x:c r="C25" s="89" t="n"/>
      <x:c r="D25" s="89" t="n"/>
      <x:c r="E25" s="89" t="n"/>
      <x:c r="F25" s="89" t="n"/>
      <x:c r="G25" s="88" t="n">
        <x:v>17</x:v>
      </x:c>
      <x:c r="H25" s="88" t="n">
        <x:v>17.5</x:v>
      </x:c>
      <x:c r="I25" s="51" t="inlineStr">
        <x:is>
          <x:t xml:space="preserve">$/ticket</x:t>
        </x:is>
      </x:c>
      <x:c r="J25" s="51" t="inlineStr">
        <x:is>
          <x:t xml:space="preserve">https://www.sandiegogulls.com/tickets/college</x:t>
        </x:is>
      </x:c>
      <x:c r="K25" s="51" t="inlineStr">
        <x:is>
          <x:t xml:space="preserve">Public/Projection</x:t>
        </x:is>
      </x:c>
    </x:row>
    <x:row r="26">
      <x:c r="A26" s="51" t="inlineStr">
        <x:is>
          <x:t xml:space="preserve">Family pack price floor</x:t>
        </x:is>
      </x:c>
      <x:c r="B26" s="51" t="inlineStr">
        <x:is>
          <x:t xml:space="preserve">TICKETING</x:t>
        </x:is>
      </x:c>
      <x:c r="C26" s="89" t="n"/>
      <x:c r="D26" s="89" t="n"/>
      <x:c r="E26" s="89" t="n"/>
      <x:c r="F26" s="89" t="n"/>
      <x:c r="G26" s="88" t="n">
        <x:v>130</x:v>
      </x:c>
      <x:c r="H26" s="88" t="n">
        <x:v>135</x:v>
      </x:c>
      <x:c r="I26" s="51" t="inlineStr">
        <x:is>
          <x:t xml:space="preserve">$/pack</x:t>
        </x:is>
      </x:c>
      <x:c r="J26" s="51" t="inlineStr">
        <x:is>
          <x:t xml:space="preserve">https://www.sandiegogulls.com/tickets/4-packs</x:t>
        </x:is>
      </x:c>
      <x:c r="K26" s="51" t="inlineStr">
        <x:is>
          <x:t xml:space="preserve">Public/Projection</x:t>
        </x:is>
      </x:c>
    </x:row>
    <x:row r="27">
      <x:c r="A27" s="51" t="inlineStr">
        <x:is>
          <x:t xml:space="preserve">Group minimum size</x:t>
        </x:is>
      </x:c>
      <x:c r="B27" s="51" t="inlineStr">
        <x:is>
          <x:t xml:space="preserve">TICKETING</x:t>
        </x:is>
      </x:c>
      <x:c r="C27" s="87" t="n">
        <x:v>10</x:v>
      </x:c>
      <x:c r="D27" s="87" t="n">
        <x:v>10</x:v>
      </x:c>
      <x:c r="E27" s="87" t="n">
        <x:v>10</x:v>
      </x:c>
      <x:c r="F27" s="87" t="n">
        <x:v>10</x:v>
      </x:c>
      <x:c r="G27" s="87" t="n">
        <x:v>10</x:v>
      </x:c>
      <x:c r="H27" s="87" t="n">
        <x:v>10</x:v>
      </x:c>
      <x:c r="I27" s="51" t="inlineStr">
        <x:is>
          <x:t xml:space="preserve">tickets</x:t>
        </x:is>
      </x:c>
      <x:c r="J27" s="51" t="inlineStr">
        <x:is>
          <x:t xml:space="preserve">https://www.sandiegogulls.com/tickets/group-tickets</x:t>
        </x:is>
      </x:c>
      <x:c r="K27" s="51" t="inlineStr">
        <x:is>
          <x:t xml:space="preserve">Public/Context</x:t>
        </x:is>
      </x:c>
    </x:row>
    <x:row r="28">
      <x:c r="A28" s="51" t="inlineStr">
        <x:is>
          <x:t xml:space="preserve">Max mini-plan discount</x:t>
        </x:is>
      </x:c>
      <x:c r="B28" s="51" t="inlineStr">
        <x:is>
          <x:t xml:space="preserve">TICKETING</x:t>
        </x:is>
      </x:c>
      <x:c r="C28" s="86" t="n">
        <x:v>0.15</x:v>
      </x:c>
      <x:c r="D28" s="86" t="n">
        <x:v>0.15</x:v>
      </x:c>
      <x:c r="E28" s="86" t="n">
        <x:v>0.2</x:v>
      </x:c>
      <x:c r="F28" s="86" t="n">
        <x:v>0.3</x:v>
      </x:c>
      <x:c r="G28" s="86" t="n">
        <x:v>0.3</x:v>
      </x:c>
      <x:c r="H28" s="86" t="n">
        <x:v>0.3</x:v>
      </x:c>
      <x:c r="I28" s="51" t="inlineStr">
        <x:is>
          <x:t xml:space="preserve">pct</x:t>
        </x:is>
      </x:c>
      <x:c r="J28" s="51" t="inlineStr">
        <x:is>
          <x:t xml:space="preserve">https://www.sandiegogulls.com/tickets/gulls-mini-plans</x:t>
        </x:is>
      </x:c>
      <x:c r="K28" s="51" t="inlineStr">
        <x:is>
          <x:t xml:space="preserve">Estimate/Projection</x:t>
        </x:is>
      </x:c>
    </x:row>
    <x:row r="29">
      <x:c r="A29" s="51" t="inlineStr">
        <x:is>
          <x:t xml:space="preserve">Weighted average ticket price (modeled)</x:t>
        </x:is>
      </x:c>
      <x:c r="B29" s="51" t="inlineStr">
        <x:is>
          <x:t xml:space="preserve">TICKETING</x:t>
        </x:is>
      </x:c>
      <x:c r="C29" s="88" t="n">
        <x:v>22</x:v>
      </x:c>
      <x:c r="D29" s="88" t="n">
        <x:v>22.4</x:v>
      </x:c>
      <x:c r="E29" s="88" t="n">
        <x:v>23.4</x:v>
      </x:c>
      <x:c r="F29" s="88" t="n">
        <x:v>24.4</x:v>
      </x:c>
      <x:c r="G29" s="88" t="n">
        <x:v>25.4</x:v>
      </x:c>
      <x:c r="H29" s="89" t="n"/>
      <x:c r="I29" s="51" t="inlineStr">
        <x:is>
          <x:t xml:space="preserve">$/ticket</x:t>
        </x:is>
      </x:c>
      <x:c r="J29" s="51" t="inlineStr">
        <x:is>
          <x:t xml:space="preserve">Model methodology</x:t>
        </x:is>
      </x:c>
      <x:c r="K29" s="51" t="inlineStr">
        <x:is>
          <x:t xml:space="preserve">Estimate/Projection</x:t>
        </x:is>
      </x:c>
    </x:row>
    <x:row r="30">
      <x:c r="A30" s="51" t="inlineStr">
        <x:is>
          <x:t xml:space="preserve">Group sales share of gate</x:t>
        </x:is>
      </x:c>
      <x:c r="B30" s="51" t="inlineStr">
        <x:is>
          <x:t xml:space="preserve">TICKETING</x:t>
        </x:is>
      </x:c>
      <x:c r="C30" s="86" t="n">
        <x:v>0.16</x:v>
      </x:c>
      <x:c r="D30" s="86" t="n">
        <x:v>0.17</x:v>
      </x:c>
      <x:c r="E30" s="86" t="n">
        <x:v>0.18</x:v>
      </x:c>
      <x:c r="F30" s="86" t="n">
        <x:v>0.19</x:v>
      </x:c>
      <x:c r="G30" s="86" t="n">
        <x:v>0.2</x:v>
      </x:c>
      <x:c r="H30" s="86" t="n">
        <x:v>0.21</x:v>
      </x:c>
      <x:c r="I30" s="51" t="inlineStr">
        <x:is>
          <x:t xml:space="preserve">pct</x:t>
        </x:is>
      </x:c>
      <x:c r="J30" s="51" t="inlineStr">
        <x:is>
          <x:t xml:space="preserve">Model methodology</x:t>
        </x:is>
      </x:c>
      <x:c r="K30" s="51" t="inlineStr">
        <x:is>
          <x:t xml:space="preserve">Estimate/Projection</x:t>
        </x:is>
      </x:c>
    </x:row>
    <x:row r="31">
      <x:c r="A31" s="51" t="inlineStr">
        <x:is>
          <x:t xml:space="preserve">Premium seating yield (included in gate)</x:t>
        </x:is>
      </x:c>
      <x:c r="B31" s="51" t="inlineStr">
        <x:is>
          <x:t xml:space="preserve">TICKETING</x:t>
        </x:is>
      </x:c>
      <x:c r="C31" s="90" t="n">
        <x:v>380000</x:v>
      </x:c>
      <x:c r="D31" s="90" t="n">
        <x:v>400000</x:v>
      </x:c>
      <x:c r="E31" s="90" t="n">
        <x:v>460000</x:v>
      </x:c>
      <x:c r="F31" s="90" t="n">
        <x:v>520000</x:v>
      </x:c>
      <x:c r="G31" s="90" t="n">
        <x:v>600000</x:v>
      </x:c>
      <x:c r="H31" s="90" t="n">
        <x:v>660000</x:v>
      </x:c>
      <x:c r="I31" s="51" t="inlineStr">
        <x:is>
          <x:t xml:space="preserve">$</x:t>
        </x:is>
      </x:c>
      <x:c r="J31" s="51" t="inlineStr">
        <x:is>
          <x:t xml:space="preserve">Model methodology</x:t>
        </x:is>
      </x:c>
      <x:c r="K31" s="51" t="inlineStr">
        <x:is>
          <x:t xml:space="preserve">Estimate/Projection</x:t>
        </x:is>
      </x:c>
    </x:row>
    <x:row r="32">
      <x:c r="A32" s="51" t="inlineStr">
        <x:is>
          <x:t xml:space="preserve">STM base (full-season equivalents)</x:t>
        </x:is>
      </x:c>
      <x:c r="B32" s="51" t="inlineStr">
        <x:is>
          <x:t xml:space="preserve">TICKETING</x:t>
        </x:is>
      </x:c>
      <x:c r="C32" s="87" t="n">
        <x:v>2300</x:v>
      </x:c>
      <x:c r="D32" s="87" t="n">
        <x:v>2350</x:v>
      </x:c>
      <x:c r="E32" s="87" t="n">
        <x:v>2450</x:v>
      </x:c>
      <x:c r="F32" s="87" t="n">
        <x:v>2550</x:v>
      </x:c>
      <x:c r="G32" s="87" t="n">
        <x:v>2700</x:v>
      </x:c>
      <x:c r="H32" s="87" t="n">
        <x:v>2780</x:v>
      </x:c>
      <x:c r="I32" s="51" t="inlineStr">
        <x:is>
          <x:t xml:space="preserve">FSE</x:t>
        </x:is>
      </x:c>
      <x:c r="J32" s="51" t="inlineStr">
        <x:is>
          <x:t xml:space="preserve">Model methodology</x:t>
        </x:is>
      </x:c>
      <x:c r="K32" s="51" t="inlineStr">
        <x:is>
          <x:t xml:space="preserve">Estimate/Projection</x:t>
        </x:is>
      </x:c>
    </x:row>
    <x:row r="33">
      <x:c r="A33" s="51" t="inlineStr">
        <x:is>
          <x:t xml:space="preserve">STM retention rate</x:t>
        </x:is>
      </x:c>
      <x:c r="B33" s="51" t="inlineStr">
        <x:is>
          <x:t xml:space="preserve">TICKETING</x:t>
        </x:is>
      </x:c>
      <x:c r="C33" s="86" t="n">
        <x:v>0.77</x:v>
      </x:c>
      <x:c r="D33" s="86" t="n">
        <x:v>0.76</x:v>
      </x:c>
      <x:c r="E33" s="86" t="n">
        <x:v>0.78</x:v>
      </x:c>
      <x:c r="F33" s="86" t="n">
        <x:v>0.8</x:v>
      </x:c>
      <x:c r="G33" s="86" t="n">
        <x:v>0.82</x:v>
      </x:c>
      <x:c r="H33" s="86" t="n">
        <x:v>0.83</x:v>
      </x:c>
      <x:c r="I33" s="51" t="inlineStr">
        <x:is>
          <x:t xml:space="preserve">pct</x:t>
        </x:is>
      </x:c>
      <x:c r="J33" s="51" t="inlineStr">
        <x:is>
          <x:t xml:space="preserve">Model methodology</x:t>
        </x:is>
      </x:c>
      <x:c r="K33" s="51" t="inlineStr">
        <x:is>
          <x:t xml:space="preserve">Estimate/Projection</x:t>
        </x:is>
      </x:c>
    </x:row>
    <x:row r="34">
      <x:c r="A34" s="51" t="inlineStr">
        <x:is>
          <x:t xml:space="preserve">F&amp;B per-cap gross</x:t>
        </x:is>
      </x:c>
      <x:c r="B34" s="51" t="inlineStr">
        <x:is>
          <x:t xml:space="preserve">ANCILLARY</x:t>
        </x:is>
      </x:c>
      <x:c r="C34" s="88" t="n">
        <x:v>13</x:v>
      </x:c>
      <x:c r="D34" s="88" t="n">
        <x:v>13.4</x:v>
      </x:c>
      <x:c r="E34" s="88" t="n">
        <x:v>14</x:v>
      </x:c>
      <x:c r="F34" s="88" t="n">
        <x:v>14.8</x:v>
      </x:c>
      <x:c r="G34" s="88" t="n">
        <x:v>15.5</x:v>
      </x:c>
      <x:c r="H34" s="89" t="n"/>
      <x:c r="I34" s="51" t="inlineStr">
        <x:is>
          <x:t xml:space="preserve">$/attendee</x:t>
        </x:is>
      </x:c>
      <x:c r="J34" s="51" t="inlineStr">
        <x:is>
          <x:t xml:space="preserve">Model methodology</x:t>
        </x:is>
      </x:c>
      <x:c r="K34" s="51" t="inlineStr">
        <x:is>
          <x:t xml:space="preserve">Estimate/Projection</x:t>
        </x:is>
      </x:c>
    </x:row>
    <x:row r="35">
      <x:c r="A35" s="51" t="inlineStr">
        <x:is>
          <x:t xml:space="preserve">Team concession commission rate</x:t>
        </x:is>
      </x:c>
      <x:c r="B35" s="51" t="inlineStr">
        <x:is>
          <x:t xml:space="preserve">ANCILLARY</x:t>
        </x:is>
      </x:c>
      <x:c r="C35" s="86" t="n">
        <x:v>0.04</x:v>
      </x:c>
      <x:c r="D35" s="86" t="n">
        <x:v>0.04</x:v>
      </x:c>
      <x:c r="E35" s="86" t="n">
        <x:v>0.04</x:v>
      </x:c>
      <x:c r="F35" s="86" t="n">
        <x:v>0.04</x:v>
      </x:c>
      <x:c r="G35" s="86" t="n">
        <x:v>0.04</x:v>
      </x:c>
      <x:c r="H35" s="86" t="n">
        <x:v>0.04</x:v>
      </x:c>
      <x:c r="I35" s="51" t="inlineStr">
        <x:is>
          <x:t xml:space="preserve">pct</x:t>
        </x:is>
      </x:c>
      <x:c r="J35" s="51" t="inlineStr">
        <x:is>
          <x:t xml:space="preserve">Model methodology</x:t>
        </x:is>
      </x:c>
      <x:c r="K35" s="51" t="inlineStr">
        <x:is>
          <x:t xml:space="preserve">Estimate</x:t>
        </x:is>
      </x:c>
    </x:row>
    <x:row r="36">
      <x:c r="A36" s="51" t="inlineStr">
        <x:is>
          <x:t xml:space="preserve">Merchandise per-cap</x:t>
        </x:is>
      </x:c>
      <x:c r="B36" s="51" t="inlineStr">
        <x:is>
          <x:t xml:space="preserve">ANCILLARY</x:t>
        </x:is>
      </x:c>
      <x:c r="C36" s="88" t="n">
        <x:v>3.6</x:v>
      </x:c>
      <x:c r="D36" s="88" t="n">
        <x:v>3.8</x:v>
      </x:c>
      <x:c r="E36" s="88" t="n">
        <x:v>4</x:v>
      </x:c>
      <x:c r="F36" s="88" t="n">
        <x:v>4.2</x:v>
      </x:c>
      <x:c r="G36" s="88" t="n">
        <x:v>4.5</x:v>
      </x:c>
      <x:c r="H36" s="89" t="n"/>
      <x:c r="I36" s="51" t="inlineStr">
        <x:is>
          <x:t xml:space="preserve">$/attendee</x:t>
        </x:is>
      </x:c>
      <x:c r="J36" s="51" t="inlineStr">
        <x:is>
          <x:t xml:space="preserve">Model methodology</x:t>
        </x:is>
      </x:c>
      <x:c r="K36" s="51" t="inlineStr">
        <x:is>
          <x:t xml:space="preserve">Estimate/Projection</x:t>
        </x:is>
      </x:c>
    </x:row>
    <x:row r="37">
      <x:c r="A37" s="51" t="inlineStr">
        <x:is>
          <x:t xml:space="preserve">Parking fee assumption</x:t>
        </x:is>
      </x:c>
      <x:c r="B37" s="51" t="inlineStr">
        <x:is>
          <x:t xml:space="preserve">ANCILLARY</x:t>
        </x:is>
      </x:c>
      <x:c r="C37" s="88" t="n">
        <x:v>15</x:v>
      </x:c>
      <x:c r="D37" s="88" t="n">
        <x:v>15</x:v>
      </x:c>
      <x:c r="E37" s="88" t="n">
        <x:v>15</x:v>
      </x:c>
      <x:c r="F37" s="88" t="n">
        <x:v>18</x:v>
      </x:c>
      <x:c r="G37" s="88" t="n">
        <x:v>20</x:v>
      </x:c>
      <x:c r="H37" s="88" t="n">
        <x:v>21</x:v>
      </x:c>
      <x:c r="I37" s="51" t="inlineStr">
        <x:is>
          <x:t xml:space="preserve">$/vehicle</x:t>
        </x:is>
      </x:c>
      <x:c r="J37" s="51" t="inlineStr">
        <x:is>
          <x:t xml:space="preserve">https://pechangaarenasd.com/plan-your-visit/directions-parking/</x:t>
        </x:is>
      </x:c>
      <x:c r="K37" s="51" t="inlineStr">
        <x:is>
          <x:t xml:space="preserve">Estimate/Projection</x:t>
        </x:is>
      </x:c>
    </x:row>
    <x:row r="38">
      <x:c r="A38" s="51" t="inlineStr">
        <x:is>
          <x:t xml:space="preserve">Average auto occupancy</x:t>
        </x:is>
      </x:c>
      <x:c r="B38" s="51" t="inlineStr">
        <x:is>
          <x:t xml:space="preserve">ANCILLARY</x:t>
        </x:is>
      </x:c>
      <x:c r="C38" s="57" t="n">
        <x:v>2.6</x:v>
      </x:c>
      <x:c r="D38" s="57" t="n">
        <x:v>2.6</x:v>
      </x:c>
      <x:c r="E38" s="57" t="n">
        <x:v>2.6</x:v>
      </x:c>
      <x:c r="F38" s="57" t="n">
        <x:v>2.5</x:v>
      </x:c>
      <x:c r="G38" s="57" t="n">
        <x:v>2.5</x:v>
      </x:c>
      <x:c r="H38" s="57" t="n">
        <x:v>2.5</x:v>
      </x:c>
      <x:c r="I38" s="51" t="inlineStr">
        <x:is>
          <x:t xml:space="preserve">persons/vehicle</x:t>
        </x:is>
      </x:c>
      <x:c r="J38" s="51" t="inlineStr">
        <x:is>
          <x:t xml:space="preserve">Model methodology</x:t>
        </x:is>
      </x:c>
      <x:c r="K38" s="51" t="inlineStr">
        <x:is>
          <x:t xml:space="preserve">Estimate</x:t>
        </x:is>
      </x:c>
    </x:row>
    <x:row r="39">
      <x:c r="A39" s="51" t="inlineStr">
        <x:is>
          <x:t xml:space="preserve">Team share of parking</x:t>
        </x:is>
      </x:c>
      <x:c r="B39" s="51" t="inlineStr">
        <x:is>
          <x:t xml:space="preserve">ANCILLARY</x:t>
        </x:is>
      </x:c>
      <x:c r="C39" s="86" t="n">
        <x:v>0.05</x:v>
      </x:c>
      <x:c r="D39" s="86" t="n">
        <x:v>0.05</x:v>
      </x:c>
      <x:c r="E39" s="86" t="n">
        <x:v>0.05</x:v>
      </x:c>
      <x:c r="F39" s="86" t="n">
        <x:v>0.05</x:v>
      </x:c>
      <x:c r="G39" s="86" t="n">
        <x:v>0.05</x:v>
      </x:c>
      <x:c r="H39" s="86" t="n">
        <x:v>0.05</x:v>
      </x:c>
      <x:c r="I39" s="51" t="inlineStr">
        <x:is>
          <x:t xml:space="preserve">pct</x:t>
        </x:is>
      </x:c>
      <x:c r="J39" s="51" t="inlineStr">
        <x:is>
          <x:t xml:space="preserve">Model methodology</x:t>
        </x:is>
      </x:c>
      <x:c r="K39" s="51" t="inlineStr">
        <x:is>
          <x:t xml:space="preserve">Estimate</x:t>
        </x:is>
      </x:c>
    </x:row>
    <x:row r="40">
      <x:c r="A40" s="51" t="inlineStr">
        <x:is>
          <x:t xml:space="preserve">Total sponsorship revenue</x:t>
        </x:is>
      </x:c>
      <x:c r="B40" s="51" t="inlineStr">
        <x:is>
          <x:t xml:space="preserve">SPONSORSHIP</x:t>
        </x:is>
      </x:c>
      <x:c r="C40" s="90" t="n">
        <x:v>1950000</x:v>
      </x:c>
      <x:c r="D40" s="90" t="n">
        <x:v>2000000</x:v>
      </x:c>
      <x:c r="E40" s="90" t="n">
        <x:v>2200000</x:v>
      </x:c>
      <x:c r="F40" s="90" t="n">
        <x:v>2450000</x:v>
      </x:c>
      <x:c r="G40" s="90" t="n">
        <x:v>2700000</x:v>
      </x:c>
      <x:c r="H40" s="89" t="n"/>
      <x:c r="I40" s="51" t="inlineStr">
        <x:is>
          <x:t xml:space="preserve">$</x:t>
        </x:is>
      </x:c>
      <x:c r="J40" s="51" t="inlineStr">
        <x:is>
          <x:t xml:space="preserve">Model methodology</x:t>
        </x:is>
      </x:c>
      <x:c r="K40" s="51" t="inlineStr">
        <x:is>
          <x:t xml:space="preserve">Estimate/Projection</x:t>
        </x:is>
      </x:c>
    </x:row>
    <x:row r="41">
      <x:c r="A41" s="51" t="inlineStr">
        <x:is>
          <x:t xml:space="preserve">Title partner value</x:t>
        </x:is>
      </x:c>
      <x:c r="B41" s="51" t="inlineStr">
        <x:is>
          <x:t xml:space="preserve">SPONSORSHIP</x:t>
        </x:is>
      </x:c>
      <x:c r="C41" s="90" t="n">
        <x:v>450000</x:v>
      </x:c>
      <x:c r="D41" s="90" t="n">
        <x:v>450000</x:v>
      </x:c>
      <x:c r="E41" s="90" t="n">
        <x:v>480000</x:v>
      </x:c>
      <x:c r="F41" s="90" t="n">
        <x:v>500000</x:v>
      </x:c>
      <x:c r="G41" s="90" t="n">
        <x:v>550000</x:v>
      </x:c>
      <x:c r="H41" s="90" t="n">
        <x:v>580000</x:v>
      </x:c>
      <x:c r="I41" s="51" t="inlineStr">
        <x:is>
          <x:t xml:space="preserve">$</x:t>
        </x:is>
      </x:c>
      <x:c r="J41" s="51" t="inlineStr">
        <x:is>
          <x:t xml:space="preserve">Model methodology</x:t>
        </x:is>
      </x:c>
      <x:c r="K41" s="51" t="inlineStr">
        <x:is>
          <x:t xml:space="preserve">Estimate</x:t>
        </x:is>
      </x:c>
    </x:row>
    <x:row r="42">
      <x:c r="A42" s="51" t="inlineStr">
        <x:is>
          <x:t xml:space="preserve">Jersey / patch revenue</x:t>
        </x:is>
      </x:c>
      <x:c r="B42" s="51" t="inlineStr">
        <x:is>
          <x:t xml:space="preserve">SPONSORSHIP</x:t>
        </x:is>
      </x:c>
      <x:c r="C42" s="88" t="n">
        <x:v>0</x:v>
      </x:c>
      <x:c r="D42" s="88" t="n">
        <x:v>0</x:v>
      </x:c>
      <x:c r="E42" s="90" t="n">
        <x:v>150000</x:v>
      </x:c>
      <x:c r="F42" s="90" t="n">
        <x:v>180000</x:v>
      </x:c>
      <x:c r="G42" s="90" t="n">
        <x:v>200000</x:v>
      </x:c>
      <x:c r="H42" s="90" t="n">
        <x:v>220000</x:v>
      </x:c>
      <x:c r="I42" s="51" t="inlineStr">
        <x:is>
          <x:t xml:space="preserve">$</x:t>
        </x:is>
      </x:c>
      <x:c r="J42" s="51" t="inlineStr">
        <x:is>
          <x:t xml:space="preserve">Model methodology</x:t>
        </x:is>
      </x:c>
      <x:c r="K42" s="51" t="inlineStr">
        <x:is>
          <x:t xml:space="preserve">Estimate</x:t>
        </x:is>
      </x:c>
    </x:row>
    <x:row r="43">
      <x:c r="A43" s="51" t="inlineStr">
        <x:is>
          <x:t xml:space="preserve">Digital inventory yield</x:t>
        </x:is>
      </x:c>
      <x:c r="B43" s="51" t="inlineStr">
        <x:is>
          <x:t xml:space="preserve">SPONSORSHIP</x:t>
        </x:is>
      </x:c>
      <x:c r="C43" s="90" t="n">
        <x:v>80000</x:v>
      </x:c>
      <x:c r="D43" s="90" t="n">
        <x:v>90000</x:v>
      </x:c>
      <x:c r="E43" s="90" t="n">
        <x:v>110000</x:v>
      </x:c>
      <x:c r="F43" s="90" t="n">
        <x:v>130000</x:v>
      </x:c>
      <x:c r="G43" s="90" t="n">
        <x:v>150000</x:v>
      </x:c>
      <x:c r="H43" s="90" t="n">
        <x:v>165000</x:v>
      </x:c>
      <x:c r="I43" s="51" t="inlineStr">
        <x:is>
          <x:t xml:space="preserve">$</x:t>
        </x:is>
      </x:c>
      <x:c r="J43" s="51" t="inlineStr">
        <x:is>
          <x:t xml:space="preserve">Model methodology</x:t>
        </x:is>
      </x:c>
      <x:c r="K43" s="51" t="inlineStr">
        <x:is>
          <x:t xml:space="preserve">Estimate</x:t>
        </x:is>
      </x:c>
    </x:row>
    <x:row r="44">
      <x:c r="A44" s="51" t="inlineStr">
        <x:is>
          <x:t xml:space="preserve">Broadcast / streaming value</x:t>
        </x:is>
      </x:c>
      <x:c r="B44" s="51" t="inlineStr">
        <x:is>
          <x:t xml:space="preserve">MEDIA</x:t>
        </x:is>
      </x:c>
      <x:c r="C44" s="90" t="n">
        <x:v>150000</x:v>
      </x:c>
      <x:c r="D44" s="90" t="n">
        <x:v>100000</x:v>
      </x:c>
      <x:c r="E44" s="90" t="n">
        <x:v>100000</x:v>
      </x:c>
      <x:c r="F44" s="90" t="n">
        <x:v>110000</x:v>
      </x:c>
      <x:c r="G44" s="90" t="n">
        <x:v>130000</x:v>
      </x:c>
      <x:c r="H44" s="90" t="n">
        <x:v>145000</x:v>
      </x:c>
      <x:c r="I44" s="51" t="inlineStr">
        <x:is>
          <x:t xml:space="preserve">$</x:t>
        </x:is>
      </x:c>
      <x:c r="J44" s="51" t="inlineStr">
        <x:is>
          <x:t xml:space="preserve">https://theahl.com/news/ahl-flosports-partnership-extension</x:t>
        </x:is>
      </x:c>
      <x:c r="K44" s="51" t="inlineStr">
        <x:is>
          <x:t xml:space="preserve">Estimate</x:t>
        </x:is>
      </x:c>
    </x:row>
    <x:row r="45">
      <x:c r="A45" s="51" t="inlineStr">
        <x:is>
          <x:t xml:space="preserve">Email subscribers (estimated active)</x:t>
        </x:is>
      </x:c>
      <x:c r="B45" s="51" t="inlineStr">
        <x:is>
          <x:t xml:space="preserve">DIGITAL</x:t>
        </x:is>
      </x:c>
      <x:c r="C45" s="87" t="n">
        <x:v>18000</x:v>
      </x:c>
      <x:c r="D45" s="87" t="n">
        <x:v>19000</x:v>
      </x:c>
      <x:c r="E45" s="87" t="n">
        <x:v>20000</x:v>
      </x:c>
      <x:c r="F45" s="87" t="n">
        <x:v>21000</x:v>
      </x:c>
      <x:c r="G45" s="87" t="n">
        <x:v>22000</x:v>
      </x:c>
      <x:c r="H45" s="87" t="n">
        <x:v>23000</x:v>
      </x:c>
      <x:c r="I45" s="51" t="inlineStr">
        <x:is>
          <x:t xml:space="preserve">subs</x:t>
        </x:is>
      </x:c>
      <x:c r="J45" s="51" t="inlineStr">
        <x:is>
          <x:t xml:space="preserve">Model methodology</x:t>
        </x:is>
      </x:c>
      <x:c r="K45" s="51" t="inlineStr">
        <x:is>
          <x:t xml:space="preserve">Estimate</x:t>
        </x:is>
      </x:c>
    </x:row>
    <x:row r="46">
      <x:c r="A46" s="51" t="inlineStr">
        <x:is>
          <x:t xml:space="preserve">Social audience (aggregate est.)</x:t>
        </x:is>
      </x:c>
      <x:c r="B46" s="51" t="inlineStr">
        <x:is>
          <x:t xml:space="preserve">DIGITAL</x:t>
        </x:is>
      </x:c>
      <x:c r="C46" s="87" t="n">
        <x:v>150000</x:v>
      </x:c>
      <x:c r="D46" s="87" t="n">
        <x:v>165000</x:v>
      </x:c>
      <x:c r="E46" s="87" t="n">
        <x:v>180000</x:v>
      </x:c>
      <x:c r="F46" s="87" t="n">
        <x:v>195000</x:v>
      </x:c>
      <x:c r="G46" s="87" t="n">
        <x:v>205000</x:v>
      </x:c>
      <x:c r="H46" s="87" t="n">
        <x:v>215000</x:v>
      </x:c>
      <x:c r="I46" s="51" t="inlineStr">
        <x:is>
          <x:t xml:space="preserve">followers</x:t>
        </x:is>
      </x:c>
      <x:c r="J46" s="51" t="inlineStr">
        <x:is>
          <x:t xml:space="preserve">Multiple public social snippets</x:t>
        </x:is>
      </x:c>
      <x:c r="K46" s="51" t="inlineStr">
        <x:is>
          <x:t xml:space="preserve">Estimate</x:t>
        </x:is>
      </x:c>
    </x:row>
    <x:row r="47">
      <x:c r="A47" s="51" t="inlineStr">
        <x:is>
          <x:t xml:space="preserve">Website monthly visits</x:t>
        </x:is>
      </x:c>
      <x:c r="B47" s="51" t="inlineStr">
        <x:is>
          <x:t xml:space="preserve">DIGITAL</x:t>
        </x:is>
      </x:c>
      <x:c r="C47" s="87" t="n">
        <x:v>28000</x:v>
      </x:c>
      <x:c r="D47" s="87" t="n">
        <x:v>29000</x:v>
      </x:c>
      <x:c r="E47" s="87" t="n">
        <x:v>31000</x:v>
      </x:c>
      <x:c r="F47" s="87" t="n">
        <x:v>33000</x:v>
      </x:c>
      <x:c r="G47" s="87" t="n">
        <x:v>35200</x:v>
      </x:c>
      <x:c r="H47" s="77" t="n"/>
      <x:c r="I47" s="51" t="inlineStr">
        <x:is>
          <x:t xml:space="preserve">visits</x:t>
        </x:is>
      </x:c>
      <x:c r="J47" s="51" t="inlineStr">
        <x:is>
          <x:t xml:space="preserve">https://www.similarweb.com/website/sandiegogulls.com/</x:t>
        </x:is>
      </x:c>
      <x:c r="K47" s="51" t="inlineStr">
        <x:is>
          <x:t xml:space="preserve">Estimate/Projection</x:t>
        </x:is>
      </x:c>
    </x:row>
    <x:row r="48">
      <x:c r="A48" s="51" t="inlineStr">
        <x:is>
          <x:t xml:space="preserve">Bounce rate</x:t>
        </x:is>
      </x:c>
      <x:c r="B48" s="51" t="inlineStr">
        <x:is>
          <x:t xml:space="preserve">DIGITAL</x:t>
        </x:is>
      </x:c>
      <x:c r="C48" s="86" t="n">
        <x:v>0.5</x:v>
      </x:c>
      <x:c r="D48" s="86" t="n">
        <x:v>0.495</x:v>
      </x:c>
      <x:c r="E48" s="86" t="n">
        <x:v>0.49</x:v>
      </x:c>
      <x:c r="F48" s="86" t="n">
        <x:v>0.48</x:v>
      </x:c>
      <x:c r="G48" s="86" t="n">
        <x:v>0.4725</x:v>
      </x:c>
      <x:c r="H48" s="86" t="n">
        <x:v>0.465</x:v>
      </x:c>
      <x:c r="I48" s="51" t="inlineStr">
        <x:is>
          <x:t xml:space="preserve">pct</x:t>
        </x:is>
      </x:c>
      <x:c r="J48" s="51" t="inlineStr">
        <x:is>
          <x:t xml:space="preserve">https://www.similarweb.com/website/sandiegogulls.com/</x:t>
        </x:is>
      </x:c>
      <x:c r="K48" s="51" t="inlineStr">
        <x:is>
          <x:t xml:space="preserve">Estimate/Projection</x:t>
        </x:is>
      </x:c>
    </x:row>
    <x:row r="49">
      <x:c r="A49" s="51" t="inlineStr">
        <x:is>
          <x:t xml:space="preserve">Pages per visit</x:t>
        </x:is>
      </x:c>
      <x:c r="B49" s="51" t="inlineStr">
        <x:is>
          <x:t xml:space="preserve">DIGITAL</x:t>
        </x:is>
      </x:c>
      <x:c r="C49" s="57" t="n">
        <x:v>1.55</x:v>
      </x:c>
      <x:c r="D49" s="57" t="n">
        <x:v>1.6</x:v>
      </x:c>
      <x:c r="E49" s="57" t="n">
        <x:v>1.65</x:v>
      </x:c>
      <x:c r="F49" s="57" t="n">
        <x:v>1.72</x:v>
      </x:c>
      <x:c r="G49" s="57" t="n">
        <x:v>1.8</x:v>
      </x:c>
      <x:c r="H49" s="57" t="n">
        <x:v>1.9</x:v>
      </x:c>
      <x:c r="I49" s="51" t="inlineStr">
        <x:is>
          <x:t xml:space="preserve">pages</x:t>
        </x:is>
      </x:c>
      <x:c r="J49" s="51" t="inlineStr">
        <x:is>
          <x:t xml:space="preserve">https://www.similarweb.com/website/sandiegogulls.com/</x:t>
        </x:is>
      </x:c>
      <x:c r="K49" s="51" t="inlineStr">
        <x:is>
          <x:t xml:space="preserve">Estimate/Projection</x:t>
        </x:is>
      </x:c>
    </x:row>
    <x:row r="50">
      <x:c r="A50" s="51" t="inlineStr">
        <x:is>
          <x:t xml:space="preserve">Average visit duration (sec)</x:t>
        </x:is>
      </x:c>
      <x:c r="B50" s="51" t="inlineStr">
        <x:is>
          <x:t xml:space="preserve">DIGITAL</x:t>
        </x:is>
      </x:c>
      <x:c r="C50" s="57" t="n">
        <x:v>60</x:v>
      </x:c>
      <x:c r="D50" s="57" t="n">
        <x:v>62</x:v>
      </x:c>
      <x:c r="E50" s="57" t="n">
        <x:v>65</x:v>
      </x:c>
      <x:c r="F50" s="57" t="n">
        <x:v>68</x:v>
      </x:c>
      <x:c r="G50" s="57" t="n">
        <x:v>70</x:v>
      </x:c>
      <x:c r="H50" s="57" t="n">
        <x:v>75</x:v>
      </x:c>
      <x:c r="I50" s="51" t="inlineStr">
        <x:is>
          <x:t xml:space="preserve">sec</x:t>
        </x:is>
      </x:c>
      <x:c r="J50" s="51" t="inlineStr">
        <x:is>
          <x:t xml:space="preserve">https://www.similarweb.com/website/sandiegogulls.com/</x:t>
        </x:is>
      </x:c>
      <x:c r="K50" s="51" t="inlineStr">
        <x:is>
          <x:t xml:space="preserve">Estimate/Projection</x:t>
        </x:is>
      </x:c>
    </x:row>
    <x:row r="51">
      <x:c r="A51" s="51" t="inlineStr">
        <x:is>
          <x:t xml:space="preserve">Organic search share</x:t>
        </x:is>
      </x:c>
      <x:c r="B51" s="51" t="inlineStr">
        <x:is>
          <x:t xml:space="preserve">DIGITAL</x:t>
        </x:is>
      </x:c>
      <x:c r="C51" s="86" t="n">
        <x:v>0.4</x:v>
      </x:c>
      <x:c r="D51" s="86" t="n">
        <x:v>0.41</x:v>
      </x:c>
      <x:c r="E51" s="86" t="n">
        <x:v>0.43</x:v>
      </x:c>
      <x:c r="F51" s="86" t="n">
        <x:v>0.44</x:v>
      </x:c>
      <x:c r="G51" s="86" t="n">
        <x:v>0.4551</x:v>
      </x:c>
      <x:c r="H51" s="86" t="n">
        <x:v>0.46</x:v>
      </x:c>
      <x:c r="I51" s="51" t="inlineStr">
        <x:is>
          <x:t xml:space="preserve">pct</x:t>
        </x:is>
      </x:c>
      <x:c r="J51" s="51" t="inlineStr">
        <x:is>
          <x:t xml:space="preserve">https://www.similarweb.com/website/sandiegogulls.com/</x:t>
        </x:is>
      </x:c>
      <x:c r="K51" s="51" t="inlineStr">
        <x:is>
          <x:t xml:space="preserve">Estimate/Projection</x:t>
        </x:is>
      </x:c>
    </x:row>
    <x:row r="52">
      <x:c r="A52" s="51" t="inlineStr">
        <x:is>
          <x:t xml:space="preserve">Customer acquisition cost</x:t>
        </x:is>
      </x:c>
      <x:c r="B52" s="51" t="inlineStr">
        <x:is>
          <x:t xml:space="preserve">MARKETING</x:t>
        </x:is>
      </x:c>
      <x:c r="C52" s="88" t="n">
        <x:v>45</x:v>
      </x:c>
      <x:c r="D52" s="88" t="n">
        <x:v>44</x:v>
      </x:c>
      <x:c r="E52" s="88" t="n">
        <x:v>42</x:v>
      </x:c>
      <x:c r="F52" s="88" t="n">
        <x:v>40</x:v>
      </x:c>
      <x:c r="G52" s="88" t="n">
        <x:v>39</x:v>
      </x:c>
      <x:c r="H52" s="88" t="n">
        <x:v>37</x:v>
      </x:c>
      <x:c r="I52" s="51" t="inlineStr">
        <x:is>
          <x:t xml:space="preserve">$/new buyer</x:t>
        </x:is>
      </x:c>
      <x:c r="J52" s="51" t="inlineStr">
        <x:is>
          <x:t xml:space="preserve">Model methodology</x:t>
        </x:is>
      </x:c>
      <x:c r="K52" s="51" t="inlineStr">
        <x:is>
          <x:t xml:space="preserve">Estimate</x:t>
        </x:is>
      </x:c>
    </x:row>
    <x:row r="53">
      <x:c r="A53" s="51" t="inlineStr">
        <x:is>
          <x:t xml:space="preserve">Net promoter score</x:t>
        </x:is>
      </x:c>
      <x:c r="B53" s="51" t="inlineStr">
        <x:is>
          <x:t xml:space="preserve">MARKETING</x:t>
        </x:is>
      </x:c>
      <x:c r="C53" s="87" t="n">
        <x:v>45</x:v>
      </x:c>
      <x:c r="D53" s="87" t="n">
        <x:v>43</x:v>
      </x:c>
      <x:c r="E53" s="87" t="n">
        <x:v>46</x:v>
      </x:c>
      <x:c r="F53" s="87" t="n">
        <x:v>50</x:v>
      </x:c>
      <x:c r="G53" s="87" t="n">
        <x:v>54</x:v>
      </x:c>
      <x:c r="H53" s="87" t="n">
        <x:v>56</x:v>
      </x:c>
      <x:c r="I53" s="51" t="inlineStr">
        <x:is>
          <x:t xml:space="preserve">pts</x:t>
        </x:is>
      </x:c>
      <x:c r="J53" s="51" t="inlineStr">
        <x:is>
          <x:t xml:space="preserve">Model methodology</x:t>
        </x:is>
      </x:c>
      <x:c r="K53" s="51" t="inlineStr">
        <x:is>
          <x:t xml:space="preserve">Estimate</x:t>
        </x:is>
      </x:c>
    </x:row>
    <x:row r="54">
      <x:c r="A54" s="51" t="inlineStr">
        <x:is>
          <x:t xml:space="preserve">Facility fee per paid ticket</x:t>
        </x:is>
      </x:c>
      <x:c r="B54" s="51" t="inlineStr">
        <x:is>
          <x:t xml:space="preserve">ARENA</x:t>
        </x:is>
      </x:c>
      <x:c r="C54" s="89" t="n"/>
      <x:c r="D54" s="89" t="n"/>
      <x:c r="E54" s="88" t="n">
        <x:v>2.5</x:v>
      </x:c>
      <x:c r="F54" s="88" t="n">
        <x:v>3</x:v>
      </x:c>
      <x:c r="G54" s="88" t="n">
        <x:v>3</x:v>
      </x:c>
      <x:c r="H54" s="88" t="n">
        <x:v>3</x:v>
      </x:c>
      <x:c r="I54" s="51" t="inlineStr">
        <x:is>
          <x:t xml:space="preserve">$/ticket</x:t>
        </x:is>
      </x:c>
      <x:c r="J54" s="51" t="inlineStr">
        <x:is>
          <x:t xml:space="preserve">Lease-era reporting / model assumption</x:t>
        </x:is>
      </x:c>
      <x:c r="K54" s="51" t="inlineStr">
        <x:is>
          <x:t xml:space="preserve">Estimate</x:t>
        </x:is>
      </x:c>
    </x:row>
    <x:row r="55">
      <x:c r="A55" s="51" t="inlineStr">
        <x:is>
          <x:t xml:space="preserve">Base rent floor (annualized)</x:t>
        </x:is>
      </x:c>
      <x:c r="B55" s="51" t="inlineStr">
        <x:is>
          <x:t xml:space="preserve">ARENA</x:t>
        </x:is>
      </x:c>
      <x:c r="C55" s="89" t="n"/>
      <x:c r="D55" s="89" t="n"/>
      <x:c r="E55" s="90" t="n">
        <x:v>775716</x:v>
      </x:c>
      <x:c r="F55" s="90" t="n">
        <x:v>799107</x:v>
      </x:c>
      <x:c r="G55" s="90" t="n">
        <x:v>823084</x:v>
      </x:c>
      <x:c r="H55" s="90" t="n">
        <x:v>839546</x:v>
      </x:c>
      <x:c r="I55" s="51" t="inlineStr">
        <x:is>
          <x:t xml:space="preserve">$</x:t>
        </x:is>
      </x:c>
      <x:c r="J55" s="51" t="inlineStr">
        <x:is>
          <x:t xml:space="preserve">https://www.lee-associates.com/elee/utc/newsletter/091224/article3.pdf</x:t>
        </x:is>
      </x:c>
      <x:c r="K55" s="51" t="inlineStr">
        <x:is>
          <x:t xml:space="preserve">Public/Projection</x:t>
        </x:is>
      </x:c>
    </x:row>
    <x:row r="56">
      <x:c r="A56" s="51" t="inlineStr">
        <x:is>
          <x:t xml:space="preserve">Rent escalator</x:t>
        </x:is>
      </x:c>
      <x:c r="B56" s="51" t="inlineStr">
        <x:is>
          <x:t xml:space="preserve">ARENA</x:t>
        </x:is>
      </x:c>
      <x:c r="C56" s="63" t="n"/>
      <x:c r="D56" s="63" t="n"/>
      <x:c r="E56" s="63" t="n"/>
      <x:c r="F56" s="86" t="n">
        <x:v>0.03</x:v>
      </x:c>
      <x:c r="G56" s="86" t="n">
        <x:v>0.03</x:v>
      </x:c>
      <x:c r="H56" s="86" t="n">
        <x:v>0.02</x:v>
      </x:c>
      <x:c r="I56" s="51" t="inlineStr">
        <x:is>
          <x:t xml:space="preserve">pct</x:t>
        </x:is>
      </x:c>
      <x:c r="J56" s="51" t="inlineStr">
        <x:is>
          <x:t xml:space="preserve">Lease-era reporting / model assumption</x:t>
        </x:is>
      </x:c>
      <x:c r="K56" s="51" t="inlineStr">
        <x:is>
          <x:t xml:space="preserve">Derived/Projection</x:t>
        </x:is>
      </x:c>
    </x:row>
    <x:row r="57">
      <x:c r="A57" s="51" t="inlineStr">
        <x:is>
          <x:t xml:space="preserve">Security / police overhead per event</x:t>
        </x:is>
      </x:c>
      <x:c r="B57" s="51" t="inlineStr">
        <x:is>
          <x:t xml:space="preserve">ARENA</x:t>
        </x:is>
      </x:c>
      <x:c r="C57" s="90" t="n">
        <x:v>12000</x:v>
      </x:c>
      <x:c r="D57" s="90" t="n">
        <x:v>12000</x:v>
      </x:c>
      <x:c r="E57" s="90" t="n">
        <x:v>13000</x:v>
      </x:c>
      <x:c r="F57" s="90" t="n">
        <x:v>14000</x:v>
      </x:c>
      <x:c r="G57" s="90" t="n">
        <x:v>15000</x:v>
      </x:c>
      <x:c r="H57" s="90" t="n">
        <x:v>15500</x:v>
      </x:c>
      <x:c r="I57" s="51" t="inlineStr">
        <x:is>
          <x:t xml:space="preserve">$</x:t>
        </x:is>
      </x:c>
      <x:c r="J57" s="51" t="inlineStr">
        <x:is>
          <x:t xml:space="preserve">https://www.sandiego.gov/sites/default/files/specialeventsopsmanual2020.pdf</x:t>
        </x:is>
      </x:c>
      <x:c r="K57" s="51" t="inlineStr">
        <x:is>
          <x:t xml:space="preserve">Estimate</x:t>
        </x:is>
      </x:c>
    </x:row>
    <x:row r="58">
      <x:c r="A58" s="51" t="inlineStr">
        <x:is>
          <x:t xml:space="preserve">Utilities &amp; HVAC load</x:t>
        </x:is>
      </x:c>
      <x:c r="B58" s="51" t="inlineStr">
        <x:is>
          <x:t xml:space="preserve">ARENA</x:t>
        </x:is>
      </x:c>
      <x:c r="C58" s="90" t="n">
        <x:v>180000</x:v>
      </x:c>
      <x:c r="D58" s="90" t="n">
        <x:v>190000</x:v>
      </x:c>
      <x:c r="E58" s="90" t="n">
        <x:v>210000</x:v>
      </x:c>
      <x:c r="F58" s="90" t="n">
        <x:v>230000</x:v>
      </x:c>
      <x:c r="G58" s="90" t="n">
        <x:v>250000</x:v>
      </x:c>
      <x:c r="H58" s="90" t="n">
        <x:v>260000</x:v>
      </x:c>
      <x:c r="I58" s="51" t="inlineStr">
        <x:is>
          <x:t xml:space="preserve">$</x:t>
        </x:is>
      </x:c>
      <x:c r="J58" s="51" t="inlineStr">
        <x:is>
          <x:t xml:space="preserve">Model methodology</x:t>
        </x:is>
      </x:c>
      <x:c r="K58" s="51" t="inlineStr">
        <x:is>
          <x:t xml:space="preserve">Estimate</x:t>
        </x:is>
      </x:c>
    </x:row>
    <x:row r="59">
      <x:c r="A59" s="51" t="inlineStr">
        <x:is>
          <x:t xml:space="preserve">Load-in / load-out allocation</x:t>
        </x:is>
      </x:c>
      <x:c r="B59" s="51" t="inlineStr">
        <x:is>
          <x:t xml:space="preserve">ARENA</x:t>
        </x:is>
      </x:c>
      <x:c r="C59" s="90" t="n">
        <x:v>80000</x:v>
      </x:c>
      <x:c r="D59" s="90" t="n">
        <x:v>85000</x:v>
      </x:c>
      <x:c r="E59" s="90" t="n">
        <x:v>90000</x:v>
      </x:c>
      <x:c r="F59" s="90" t="n">
        <x:v>95000</x:v>
      </x:c>
      <x:c r="G59" s="90" t="n">
        <x:v>100000</x:v>
      </x:c>
      <x:c r="H59" s="90" t="n">
        <x:v>105000</x:v>
      </x:c>
      <x:c r="I59" s="51" t="inlineStr">
        <x:is>
          <x:t xml:space="preserve">$</x:t>
        </x:is>
      </x:c>
      <x:c r="J59" s="51" t="inlineStr">
        <x:is>
          <x:t xml:space="preserve">Model methodology</x:t>
        </x:is>
      </x:c>
      <x:c r="K59" s="51" t="inlineStr">
        <x:is>
          <x:t xml:space="preserve">Estimate</x:t>
        </x:is>
      </x:c>
    </x:row>
    <x:row r="60">
      <x:c r="A60" s="51" t="inlineStr">
        <x:is>
          <x:t xml:space="preserve">Midway district assessment / CFD</x:t>
        </x:is>
      </x:c>
      <x:c r="B60" s="51" t="inlineStr">
        <x:is>
          <x:t xml:space="preserve">ARENA</x:t>
        </x:is>
      </x:c>
      <x:c r="C60" s="88" t="n">
        <x:v>0</x:v>
      </x:c>
      <x:c r="D60" s="88" t="n">
        <x:v>0</x:v>
      </x:c>
      <x:c r="E60" s="88" t="n">
        <x:v>0</x:v>
      </x:c>
      <x:c r="F60" s="88" t="n">
        <x:v>0</x:v>
      </x:c>
      <x:c r="G60" s="88" t="n">
        <x:v>0</x:v>
      </x:c>
      <x:c r="H60" s="88" t="n">
        <x:v>0</x:v>
      </x:c>
      <x:c r="I60" s="51" t="inlineStr">
        <x:is>
          <x:t xml:space="preserve">$</x:t>
        </x:is>
      </x:c>
      <x:c r="J60" s="51" t="inlineStr">
        <x:is>
          <x:t xml:space="preserve">Public review</x:t>
        </x:is>
      </x:c>
      <x:c r="K60" s="51" t="inlineStr">
        <x:is>
          <x:t xml:space="preserve">Context</x:t>
        </x:is>
      </x:c>
    </x:row>
    <x:row r="61">
      <x:c r="A61" s="51" t="inlineStr">
        <x:is>
          <x:t xml:space="preserve">Lease horizon (months remaining)</x:t>
        </x:is>
      </x:c>
      <x:c r="B61" s="51" t="inlineStr">
        <x:is>
          <x:t xml:space="preserve">ARENA</x:t>
        </x:is>
      </x:c>
      <x:c r="C61" s="77" t="n"/>
      <x:c r="D61" s="77" t="n"/>
      <x:c r="E61" s="87" t="n">
        <x:v>29</x:v>
      </x:c>
      <x:c r="F61" s="87" t="n">
        <x:v>17</x:v>
      </x:c>
      <x:c r="G61" s="87" t="n">
        <x:v>5</x:v>
      </x:c>
      <x:c r="H61" s="87" t="n">
        <x:v>0</x:v>
      </x:c>
      <x:c r="I61" s="51" t="inlineStr">
        <x:is>
          <x:t xml:space="preserve">months</x:t>
        </x:is>
      </x:c>
      <x:c r="J61" s="51" t="inlineStr">
        <x:is>
          <x:t xml:space="preserve">https://www.sandiego.gov/economic-development/real-estate/midway-rising</x:t>
        </x:is>
      </x:c>
      <x:c r="K61" s="51" t="inlineStr">
        <x:is>
          <x:t xml:space="preserve">Estimate</x:t>
        </x:is>
      </x:c>
    </x:row>
    <x:row r="62">
      <x:c r="A62" s="51" t="inlineStr">
        <x:is>
          <x:t xml:space="preserve">Naming-rights tranche allocable to team ops</x:t>
        </x:is>
      </x:c>
      <x:c r="B62" s="51" t="inlineStr">
        <x:is>
          <x:t xml:space="preserve">ARENA</x:t>
        </x:is>
      </x:c>
      <x:c r="C62" s="90" t="n">
        <x:v>250000</x:v>
      </x:c>
      <x:c r="D62" s="90" t="n">
        <x:v>250000</x:v>
      </x:c>
      <x:c r="E62" s="90" t="n">
        <x:v>260000</x:v>
      </x:c>
      <x:c r="F62" s="90" t="n">
        <x:v>275000</x:v>
      </x:c>
      <x:c r="G62" s="90" t="n">
        <x:v>300000</x:v>
      </x:c>
      <x:c r="H62" s="90" t="n">
        <x:v>310000</x:v>
      </x:c>
      <x:c r="I62" s="51" t="inlineStr">
        <x:is>
          <x:t xml:space="preserve">$</x:t>
        </x:is>
      </x:c>
      <x:c r="J62" s="51" t="inlineStr">
        <x:is>
          <x:t xml:space="preserve">Model methodology</x:t>
        </x:is>
      </x:c>
      <x:c r="K62" s="51" t="inlineStr">
        <x:is>
          <x:t xml:space="preserve">Estimate</x:t>
        </x:is>
      </x:c>
    </x:row>
    <x:row r="63">
      <x:c r="A63" s="51" t="inlineStr">
        <x:is>
          <x:t xml:space="preserve">Tax liability</x:t>
        </x:is>
      </x:c>
      <x:c r="B63" s="51" t="inlineStr">
        <x:is>
          <x:t xml:space="preserve">ARENA</x:t>
        </x:is>
      </x:c>
      <x:c r="C63" s="90" t="n">
        <x:v>50000</x:v>
      </x:c>
      <x:c r="D63" s="90" t="n">
        <x:v>50000</x:v>
      </x:c>
      <x:c r="E63" s="90" t="n">
        <x:v>50000</x:v>
      </x:c>
      <x:c r="F63" s="90" t="n">
        <x:v>50000</x:v>
      </x:c>
      <x:c r="G63" s="90" t="n">
        <x:v>50000</x:v>
      </x:c>
      <x:c r="H63" s="90" t="n">
        <x:v>50000</x:v>
      </x:c>
      <x:c r="I63" s="51" t="inlineStr">
        <x:is>
          <x:t xml:space="preserve">$</x:t>
        </x:is>
      </x:c>
      <x:c r="J63" s="51" t="inlineStr">
        <x:is>
          <x:t xml:space="preserve">Model methodology</x:t>
        </x:is>
      </x:c>
      <x:c r="K63" s="51" t="inlineStr">
        <x:is>
          <x:t xml:space="preserve">Estimate</x:t>
        </x:is>
      </x:c>
    </x:row>
    <x:row r="64">
      <x:c r="A64" s="51" t="inlineStr">
        <x:is>
          <x:t xml:space="preserve">Debt-to-value ratio</x:t>
        </x:is>
      </x:c>
      <x:c r="B64" s="51" t="inlineStr">
        <x:is>
          <x:t xml:space="preserve">ARENA</x:t>
        </x:is>
      </x:c>
      <x:c r="C64" s="86" t="n">
        <x:v>0.05</x:v>
      </x:c>
      <x:c r="D64" s="86" t="n">
        <x:v>0.05</x:v>
      </x:c>
      <x:c r="E64" s="86" t="n">
        <x:v>0.05</x:v>
      </x:c>
      <x:c r="F64" s="86" t="n">
        <x:v>0.05</x:v>
      </x:c>
      <x:c r="G64" s="86" t="n">
        <x:v>0.05</x:v>
      </x:c>
      <x:c r="H64" s="86" t="n">
        <x:v>0.05</x:v>
      </x:c>
      <x:c r="I64" s="51" t="inlineStr">
        <x:is>
          <x:t xml:space="preserve">pct</x:t>
        </x:is>
      </x:c>
      <x:c r="J64" s="51" t="inlineStr">
        <x:is>
          <x:t xml:space="preserve">Model methodology</x:t>
        </x:is>
      </x:c>
      <x:c r="K64" s="51" t="inlineStr">
        <x:is>
          <x:t xml:space="preserve">Estimate</x:t>
        </x:is>
      </x:c>
    </x:row>
    <x:row r="65">
      <x:c r="A65" s="51" t="inlineStr">
        <x:is>
          <x:t xml:space="preserve">Roster headcount</x:t>
        </x:is>
      </x:c>
      <x:c r="B65" s="51" t="inlineStr">
        <x:is>
          <x:t xml:space="preserve">HUMAN CAPITAL</x:t>
        </x:is>
      </x:c>
      <x:c r="C65" s="87" t="n">
        <x:v>22</x:v>
      </x:c>
      <x:c r="D65" s="87" t="n">
        <x:v>24</x:v>
      </x:c>
      <x:c r="E65" s="87" t="n">
        <x:v>26</x:v>
      </x:c>
      <x:c r="F65" s="87" t="n">
        <x:v>22</x:v>
      </x:c>
      <x:c r="G65" s="87" t="n">
        <x:v>29</x:v>
      </x:c>
      <x:c r="H65" s="87" t="n">
        <x:v>29</x:v>
      </x:c>
      <x:c r="I65" s="51" t="inlineStr">
        <x:is>
          <x:t xml:space="preserve">players</x:t>
        </x:is>
      </x:c>
      <x:c r="J65" s="51" t="inlineStr">
        <x:is>
          <x:t xml:space="preserve">Multiple official roster/game notes sources</x:t>
        </x:is>
      </x:c>
      <x:c r="K65" s="51" t="inlineStr">
        <x:is>
          <x:t xml:space="preserve">Public/Projection</x:t>
        </x:is>
      </x:c>
    </x:row>
    <x:row r="66">
      <x:c r="A66" s="51" t="inlineStr">
        <x:is>
          <x:t xml:space="preserve">Coaching staff payroll</x:t>
        </x:is>
      </x:c>
      <x:c r="B66" s="51" t="inlineStr">
        <x:is>
          <x:t xml:space="preserve">HUMAN CAPITAL</x:t>
        </x:is>
      </x:c>
      <x:c r="C66" s="90" t="n">
        <x:v>550000</x:v>
      </x:c>
      <x:c r="D66" s="90" t="n">
        <x:v>560000</x:v>
      </x:c>
      <x:c r="E66" s="90" t="n">
        <x:v>580000</x:v>
      </x:c>
      <x:c r="F66" s="90" t="n">
        <x:v>620000</x:v>
      </x:c>
      <x:c r="G66" s="90" t="n">
        <x:v>680000</x:v>
      </x:c>
      <x:c r="H66" s="90" t="n">
        <x:v>710000</x:v>
      </x:c>
      <x:c r="I66" s="51" t="inlineStr">
        <x:is>
          <x:t xml:space="preserve">$</x:t>
        </x:is>
      </x:c>
      <x:c r="J66" s="51" t="inlineStr">
        <x:is>
          <x:t xml:space="preserve">Model methodology</x:t>
        </x:is>
      </x:c>
      <x:c r="K66" s="51" t="inlineStr">
        <x:is>
          <x:t xml:space="preserve">Estimate</x:t>
        </x:is>
      </x:c>
    </x:row>
    <x:row r="67">
      <x:c r="A67" s="51" t="inlineStr">
        <x:is>
          <x:t xml:space="preserve">Front office FTE</x:t>
        </x:is>
      </x:c>
      <x:c r="B67" s="51" t="inlineStr">
        <x:is>
          <x:t xml:space="preserve">HUMAN CAPITAL</x:t>
        </x:is>
      </x:c>
      <x:c r="C67" s="87" t="n">
        <x:v>42</x:v>
      </x:c>
      <x:c r="D67" s="87" t="n">
        <x:v>43</x:v>
      </x:c>
      <x:c r="E67" s="87" t="n">
        <x:v>44</x:v>
      </x:c>
      <x:c r="F67" s="87" t="n">
        <x:v>45</x:v>
      </x:c>
      <x:c r="G67" s="87" t="n">
        <x:v>46</x:v>
      </x:c>
      <x:c r="H67" s="87" t="n">
        <x:v>47</x:v>
      </x:c>
      <x:c r="I67" s="51" t="inlineStr">
        <x:is>
          <x:t xml:space="preserve">FTE</x:t>
        </x:is>
      </x:c>
      <x:c r="J67" s="51" t="inlineStr">
        <x:is>
          <x:t xml:space="preserve">https://www.linkedin.com/company/san-diego-gulls</x:t>
        </x:is>
      </x:c>
      <x:c r="K67" s="51" t="inlineStr">
        <x:is>
          <x:t xml:space="preserve">Estimate</x:t>
        </x:is>
      </x:c>
    </x:row>
    <x:row r="68">
      <x:c r="A68" s="51" t="inlineStr">
        <x:is>
          <x:t xml:space="preserve">Medical / training tech spend</x:t>
        </x:is>
      </x:c>
      <x:c r="B68" s="51" t="inlineStr">
        <x:is>
          <x:t xml:space="preserve">HUMAN CAPITAL</x:t>
        </x:is>
      </x:c>
      <x:c r="C68" s="90" t="n">
        <x:v>100000</x:v>
      </x:c>
      <x:c r="D68" s="90" t="n">
        <x:v>110000</x:v>
      </x:c>
      <x:c r="E68" s="90" t="n">
        <x:v>130000</x:v>
      </x:c>
      <x:c r="F68" s="90" t="n">
        <x:v>150000</x:v>
      </x:c>
      <x:c r="G68" s="90" t="n">
        <x:v>175000</x:v>
      </x:c>
      <x:c r="H68" s="90" t="n">
        <x:v>185000</x:v>
      </x:c>
      <x:c r="I68" s="51" t="inlineStr">
        <x:is>
          <x:t xml:space="preserve">$</x:t>
        </x:is>
      </x:c>
      <x:c r="J68" s="51" t="inlineStr">
        <x:is>
          <x:t xml:space="preserve">Model methodology</x:t>
        </x:is>
      </x:c>
      <x:c r="K68" s="51" t="inlineStr">
        <x:is>
          <x:t xml:space="preserve">Estimate</x:t>
        </x:is>
      </x:c>
    </x:row>
    <x:row r="69">
      <x:c r="A69" s="51" t="inlineStr">
        <x:is>
          <x:t xml:space="preserve">Travel logistics ratio (air-heavy)</x:t>
        </x:is>
      </x:c>
      <x:c r="B69" s="51" t="inlineStr">
        <x:is>
          <x:t xml:space="preserve">HUMAN CAPITAL</x:t>
        </x:is>
      </x:c>
      <x:c r="C69" s="86" t="n">
        <x:v>0.82</x:v>
      </x:c>
      <x:c r="D69" s="86" t="n">
        <x:v>0.82</x:v>
      </x:c>
      <x:c r="E69" s="86" t="n">
        <x:v>0.83</x:v>
      </x:c>
      <x:c r="F69" s="86" t="n">
        <x:v>0.84</x:v>
      </x:c>
      <x:c r="G69" s="86" t="n">
        <x:v>0.84</x:v>
      </x:c>
      <x:c r="H69" s="86" t="n">
        <x:v>0.84</x:v>
      </x:c>
      <x:c r="I69" s="51" t="inlineStr">
        <x:is>
          <x:t xml:space="preserve">pct</x:t>
        </x:is>
      </x:c>
      <x:c r="J69" s="51" t="inlineStr">
        <x:is>
          <x:t xml:space="preserve">Model methodology</x:t>
        </x:is>
      </x:c>
      <x:c r="K69" s="51" t="inlineStr">
        <x:is>
          <x:t xml:space="preserve">Estimate</x:t>
        </x:is>
      </x:c>
    </x:row>
    <x:row r="70">
      <x:c r="A70" s="51" t="inlineStr">
        <x:is>
          <x:t xml:space="preserve">Player housing spend</x:t>
        </x:is>
      </x:c>
      <x:c r="B70" s="51" t="inlineStr">
        <x:is>
          <x:t xml:space="preserve">HUMAN CAPITAL</x:t>
        </x:is>
      </x:c>
      <x:c r="C70" s="90" t="n">
        <x:v>200000</x:v>
      </x:c>
      <x:c r="D70" s="90" t="n">
        <x:v>210000</x:v>
      </x:c>
      <x:c r="E70" s="90" t="n">
        <x:v>230000</x:v>
      </x:c>
      <x:c r="F70" s="90" t="n">
        <x:v>250000</x:v>
      </x:c>
      <x:c r="G70" s="90" t="n">
        <x:v>280000</x:v>
      </x:c>
      <x:c r="H70" s="90" t="n">
        <x:v>290000</x:v>
      </x:c>
      <x:c r="I70" s="51" t="inlineStr">
        <x:is>
          <x:t xml:space="preserve">$</x:t>
        </x:is>
      </x:c>
      <x:c r="J70" s="51" t="inlineStr">
        <x:is>
          <x:t xml:space="preserve">Model methodology</x:t>
        </x:is>
      </x:c>
      <x:c r="K70" s="51" t="inlineStr">
        <x:is>
          <x:t xml:space="preserve">Estimate</x:t>
        </x:is>
      </x:c>
    </x:row>
    <x:row r="71">
      <x:c r="A71" s="51" t="inlineStr">
        <x:is>
          <x:t xml:space="preserve">AHL-only salary floor</x:t>
        </x:is>
      </x:c>
      <x:c r="B71" s="51" t="inlineStr">
        <x:is>
          <x:t xml:space="preserve">HUMAN CAPITAL</x:t>
        </x:is>
      </x:c>
      <x:c r="C71" s="90" t="n">
        <x:v>49000</x:v>
      </x:c>
      <x:c r="D71" s="90" t="n">
        <x:v>50000</x:v>
      </x:c>
      <x:c r="E71" s="90" t="n">
        <x:v>51500</x:v>
      </x:c>
      <x:c r="F71" s="90" t="n">
        <x:v>52725</x:v>
      </x:c>
      <x:c r="G71" s="90" t="n">
        <x:v>54000</x:v>
      </x:c>
      <x:c r="H71" s="90" t="n">
        <x:v>55620</x:v>
      </x:c>
      <x:c r="I71" s="51" t="inlineStr">
        <x:is>
          <x:t xml:space="preserve">$</x:t>
        </x:is>
      </x:c>
      <x:c r="J71" s="51" t="inlineStr">
        <x:is>
          <x:t xml:space="preserve">https://phpa.com/site/agreements</x:t>
        </x:is>
      </x:c>
      <x:c r="K71" s="51" t="inlineStr">
        <x:is>
          <x:t xml:space="preserve">Estimate/Projection</x:t>
        </x:is>
      </x:c>
    </x:row>
    <x:row r="72">
      <x:c r="A72" s="51" t="inlineStr">
        <x:is>
          <x:t xml:space="preserve">AHL-only average salary</x:t>
        </x:is>
      </x:c>
      <x:c r="B72" s="51" t="inlineStr">
        <x:is>
          <x:t xml:space="preserve">HUMAN CAPITAL</x:t>
        </x:is>
      </x:c>
      <x:c r="C72" s="90" t="n">
        <x:v>65000</x:v>
      </x:c>
      <x:c r="D72" s="90" t="n">
        <x:v>66000</x:v>
      </x:c>
      <x:c r="E72" s="90" t="n">
        <x:v>70000</x:v>
      </x:c>
      <x:c r="F72" s="90" t="n">
        <x:v>74000</x:v>
      </x:c>
      <x:c r="G72" s="90" t="n">
        <x:v>78000</x:v>
      </x:c>
      <x:c r="H72" s="90" t="n">
        <x:v>80000</x:v>
      </x:c>
      <x:c r="I72" s="51" t="inlineStr">
        <x:is>
          <x:t xml:space="preserve">$</x:t>
        </x:is>
      </x:c>
      <x:c r="J72" s="51" t="inlineStr">
        <x:is>
          <x:t xml:space="preserve">Model methodology</x:t>
        </x:is>
      </x:c>
      <x:c r="K72" s="51" t="inlineStr">
        <x:is>
          <x:t xml:space="preserve">Estimate</x:t>
        </x:is>
      </x:c>
    </x:row>
    <x:row r="73">
      <x:c r="A73" s="51" t="inlineStr">
        <x:is>
          <x:t xml:space="preserve">Insurance premiums</x:t>
        </x:is>
      </x:c>
      <x:c r="B73" s="51" t="inlineStr">
        <x:is>
          <x:t xml:space="preserve">HUMAN CAPITAL</x:t>
        </x:is>
      </x:c>
      <x:c r="C73" s="90" t="n">
        <x:v>200000</x:v>
      </x:c>
      <x:c r="D73" s="90" t="n">
        <x:v>210000</x:v>
      </x:c>
      <x:c r="E73" s="90" t="n">
        <x:v>230000</x:v>
      </x:c>
      <x:c r="F73" s="90" t="n">
        <x:v>250000</x:v>
      </x:c>
      <x:c r="G73" s="90" t="n">
        <x:v>270000</x:v>
      </x:c>
      <x:c r="H73" s="90" t="n">
        <x:v>280000</x:v>
      </x:c>
      <x:c r="I73" s="51" t="inlineStr">
        <x:is>
          <x:t xml:space="preserve">$</x:t>
        </x:is>
      </x:c>
      <x:c r="J73" s="51" t="inlineStr">
        <x:is>
          <x:t xml:space="preserve">Model methodology</x:t>
        </x:is>
      </x:c>
      <x:c r="K73" s="51" t="inlineStr">
        <x:is>
          <x:t xml:space="preserve">Estimate</x:t>
        </x:is>
      </x:c>
    </x:row>
    <x:row r="74">
      <x:c r="A74" s="51" t="inlineStr">
        <x:is>
          <x:t xml:space="preserve">Equipment lifecycle cost</x:t>
        </x:is>
      </x:c>
      <x:c r="B74" s="51" t="inlineStr">
        <x:is>
          <x:t xml:space="preserve">HUMAN CAPITAL</x:t>
        </x:is>
      </x:c>
      <x:c r="C74" s="90" t="n">
        <x:v>150000</x:v>
      </x:c>
      <x:c r="D74" s="90" t="n">
        <x:v>155000</x:v>
      </x:c>
      <x:c r="E74" s="90" t="n">
        <x:v>165000</x:v>
      </x:c>
      <x:c r="F74" s="90" t="n">
        <x:v>175000</x:v>
      </x:c>
      <x:c r="G74" s="90" t="n">
        <x:v>190000</x:v>
      </x:c>
      <x:c r="H74" s="90" t="n">
        <x:v>195000</x:v>
      </x:c>
      <x:c r="I74" s="51" t="inlineStr">
        <x:is>
          <x:t xml:space="preserve">$</x:t>
        </x:is>
      </x:c>
      <x:c r="J74" s="51" t="inlineStr">
        <x:is>
          <x:t xml:space="preserve">Model methodology</x:t>
        </x:is>
      </x:c>
      <x:c r="K74" s="51" t="inlineStr">
        <x:is>
          <x:t xml:space="preserve">Estimate</x:t>
        </x:is>
      </x:c>
    </x:row>
    <x:row r="75">
      <x:c r="A75" s="51" t="inlineStr">
        <x:is>
          <x:t xml:space="preserve">Ducks prospects in San Diego</x:t>
        </x:is>
      </x:c>
      <x:c r="B75" s="51" t="inlineStr">
        <x:is>
          <x:t xml:space="preserve">HUMAN CAPITAL</x:t>
        </x:is>
      </x:c>
      <x:c r="C75" s="87" t="n">
        <x:v>8</x:v>
      </x:c>
      <x:c r="D75" s="87" t="n">
        <x:v>8</x:v>
      </x:c>
      <x:c r="E75" s="87" t="n">
        <x:v>9</x:v>
      </x:c>
      <x:c r="F75" s="87" t="n">
        <x:v>9</x:v>
      </x:c>
      <x:c r="G75" s="87" t="n">
        <x:v>15</x:v>
      </x:c>
      <x:c r="H75" s="87" t="n">
        <x:v>15</x:v>
      </x:c>
      <x:c r="I75" s="51" t="inlineStr">
        <x:is>
          <x:t xml:space="preserve">players</x:t>
        </x:is>
      </x:c>
      <x:c r="J75" s="51" t="inlineStr">
        <x:is>
          <x:t xml:space="preserve">Multiple official roster/game notes sources</x:t>
        </x:is>
      </x:c>
      <x:c r="K75" s="51" t="inlineStr">
        <x:is>
          <x:t xml:space="preserve">Estimate</x:t>
        </x:is>
      </x:c>
    </x:row>
    <x:row r="76">
      <x:c r="A76" s="51" t="inlineStr">
        <x:is>
          <x:t xml:space="preserve">NHL parent subsidy</x:t>
        </x:is>
      </x:c>
      <x:c r="B76" s="51" t="inlineStr">
        <x:is>
          <x:t xml:space="preserve">OTHER</x:t>
        </x:is>
      </x:c>
      <x:c r="C76" s="90" t="n">
        <x:v>4200000</x:v>
      </x:c>
      <x:c r="D76" s="90" t="n">
        <x:v>4300000</x:v>
      </x:c>
      <x:c r="E76" s="90" t="n">
        <x:v>4400000</x:v>
      </x:c>
      <x:c r="F76" s="90" t="n">
        <x:v>4500000</x:v>
      </x:c>
      <x:c r="G76" s="90" t="n">
        <x:v>4700000</x:v>
      </x:c>
      <x:c r="H76" s="90" t="n">
        <x:v>4900000</x:v>
      </x:c>
      <x:c r="I76" s="51" t="inlineStr">
        <x:is>
          <x:t xml:space="preserve">$</x:t>
        </x:is>
      </x:c>
      <x:c r="J76" s="51" t="inlineStr">
        <x:is>
          <x:t xml:space="preserve">Model methodology</x:t>
        </x:is>
      </x:c>
      <x:c r="K76" s="51" t="inlineStr">
        <x:is>
          <x:t xml:space="preserve">Estimate</x:t>
        </x:is>
      </x:c>
    </x:row>
    <x:row r="77">
      <x:c r="A77" s="51" t="inlineStr">
        <x:is>
          <x:t xml:space="preserve">Youth hockey / camp revenue</x:t>
        </x:is>
      </x:c>
      <x:c r="B77" s="51" t="inlineStr">
        <x:is>
          <x:t xml:space="preserve">OTHER</x:t>
        </x:is>
      </x:c>
      <x:c r="C77" s="90" t="n">
        <x:v>80000</x:v>
      </x:c>
      <x:c r="D77" s="90" t="n">
        <x:v>90000</x:v>
      </x:c>
      <x:c r="E77" s="90" t="n">
        <x:v>100000</x:v>
      </x:c>
      <x:c r="F77" s="90" t="n">
        <x:v>120000</x:v>
      </x:c>
      <x:c r="G77" s="90" t="n">
        <x:v>140000</x:v>
      </x:c>
      <x:c r="H77" s="90" t="n">
        <x:v>160000</x:v>
      </x:c>
      <x:c r="I77" s="51" t="inlineStr">
        <x:is>
          <x:t xml:space="preserve">$</x:t>
        </x:is>
      </x:c>
      <x:c r="J77" s="51" t="inlineStr">
        <x:is>
          <x:t xml:space="preserve">Model methodology</x:t>
        </x:is>
      </x:c>
      <x:c r="K77" s="51" t="inlineStr">
        <x:is>
          <x:t xml:space="preserve">Estimate</x:t>
        </x:is>
      </x:c>
    </x:row>
    <x:row r="78">
      <x:c r="A78" s="51" t="inlineStr">
        <x:is>
          <x:t xml:space="preserve">Foundation asset base</x:t>
        </x:is>
      </x:c>
      <x:c r="B78" s="51" t="inlineStr">
        <x:is>
          <x:t xml:space="preserve">OTHER</x:t>
        </x:is>
      </x:c>
      <x:c r="C78" s="90" t="n">
        <x:v>200000</x:v>
      </x:c>
      <x:c r="D78" s="90" t="n">
        <x:v>220000</x:v>
      </x:c>
      <x:c r="E78" s="90" t="n">
        <x:v>240000</x:v>
      </x:c>
      <x:c r="F78" s="90" t="n">
        <x:v>260000</x:v>
      </x:c>
      <x:c r="G78" s="90" t="n">
        <x:v>280000</x:v>
      </x:c>
      <x:c r="H78" s="90" t="n">
        <x:v>300000</x:v>
      </x:c>
      <x:c r="I78" s="51" t="inlineStr">
        <x:is>
          <x:t xml:space="preserve">$</x:t>
        </x:is>
      </x:c>
      <x:c r="J78" s="51" t="inlineStr">
        <x:is>
          <x:t xml:space="preserve">https://www.sandiegogulls.com/community/foundation</x:t>
        </x:is>
      </x:c>
      <x:c r="K78" s="51" t="inlineStr">
        <x:is>
          <x:t xml:space="preserve">Estimate</x:t>
        </x:is>
      </x:c>
    </x:row>
    <x:row r="79">
      <x:c r="A79" s="51" t="inlineStr">
        <x:is>
          <x:t xml:space="preserve">Affiliate synergy value</x:t>
        </x:is>
      </x:c>
      <x:c r="B79" s="51" t="inlineStr">
        <x:is>
          <x:t xml:space="preserve">OTHER</x:t>
        </x:is>
      </x:c>
      <x:c r="C79" s="90" t="n">
        <x:v>650000</x:v>
      </x:c>
      <x:c r="D79" s="90" t="n">
        <x:v>700000</x:v>
      </x:c>
      <x:c r="E79" s="90" t="n">
        <x:v>750000</x:v>
      </x:c>
      <x:c r="F79" s="90" t="n">
        <x:v>800000</x:v>
      </x:c>
      <x:c r="G79" s="90" t="n">
        <x:v>900000</x:v>
      </x:c>
      <x:c r="H79" s="90" t="n">
        <x:v>950000</x:v>
      </x:c>
      <x:c r="I79" s="51" t="inlineStr">
        <x:is>
          <x:t xml:space="preserve">$</x:t>
        </x:is>
      </x:c>
      <x:c r="J79" s="51" t="inlineStr">
        <x:is>
          <x:t xml:space="preserve">Model methodology</x:t>
        </x:is>
      </x:c>
      <x:c r="K79" s="51" t="inlineStr">
        <x:is>
          <x:t xml:space="preserve">Estimate</x:t>
        </x:is>
      </x:c>
    </x:row>
    <x:row r="80">
      <x:c r="A80" s="51" t="inlineStr">
        <x:is>
          <x:t xml:space="preserve">Trademark / brand asset value</x:t>
        </x:is>
      </x:c>
      <x:c r="B80" s="51" t="inlineStr">
        <x:is>
          <x:t xml:space="preserve">OTHER</x:t>
        </x:is>
      </x:c>
      <x:c r="C80" s="90" t="n">
        <x:v>300000</x:v>
      </x:c>
      <x:c r="D80" s="90" t="n">
        <x:v>325000</x:v>
      </x:c>
      <x:c r="E80" s="90" t="n">
        <x:v>350000</x:v>
      </x:c>
      <x:c r="F80" s="90" t="n">
        <x:v>375000</x:v>
      </x:c>
      <x:c r="G80" s="90" t="n">
        <x:v>425000</x:v>
      </x:c>
      <x:c r="H80" s="90" t="n">
        <x:v>450000</x:v>
      </x:c>
      <x:c r="I80" s="51" t="inlineStr">
        <x:is>
          <x:t xml:space="preserve">$</x:t>
        </x:is>
      </x:c>
      <x:c r="J80" s="51" t="inlineStr">
        <x:is>
          <x:t xml:space="preserve">Model methodology</x:t>
        </x:is>
      </x:c>
      <x:c r="K80" s="51" t="inlineStr">
        <x:is>
          <x:t xml:space="preserve">Estimate</x:t>
        </x:is>
      </x:c>
    </x:row>
    <x:row r="81">
      <x:c r="A81" s="51" t="inlineStr">
        <x:is>
          <x:t xml:space="preserve">Revenue multiple</x:t>
        </x:is>
      </x:c>
      <x:c r="B81" s="51" t="inlineStr">
        <x:is>
          <x:t xml:space="preserve">VALUATION</x:t>
        </x:is>
      </x:c>
      <x:c r="C81" s="58" t="n">
        <x:v>3.2</x:v>
      </x:c>
      <x:c r="D81" s="58" t="n">
        <x:v>3.2</x:v>
      </x:c>
      <x:c r="E81" s="58" t="n">
        <x:v>3.2</x:v>
      </x:c>
      <x:c r="F81" s="58" t="n">
        <x:v>3.2</x:v>
      </x:c>
      <x:c r="G81" s="58" t="n">
        <x:v>3.2</x:v>
      </x:c>
      <x:c r="H81" s="58" t="n">
        <x:v>3.2</x:v>
      </x:c>
      <x:c r="I81" s="51" t="inlineStr">
        <x:is>
          <x:t xml:space="preserve">x</x:t>
        </x:is>
      </x:c>
      <x:c r="J81" s="51" t="inlineStr">
        <x:is>
          <x:t xml:space="preserve">Model control</x:t>
        </x:is>
      </x:c>
      <x:c r="K81" s="51" t="inlineStr">
        <x:is>
          <x:t xml:space="preserve">Control</x:t>
        </x:is>
      </x:c>
    </x:row>
    <x:row r="82">
      <x:c r="A82" s="51" t="inlineStr">
        <x:is>
          <x:t xml:space="preserve">Email database value per active subscriber</x:t>
        </x:is>
      </x:c>
      <x:c r="B82" s="51" t="inlineStr">
        <x:is>
          <x:t xml:space="preserve">DIGITAL</x:t>
        </x:is>
      </x:c>
      <x:c r="C82" s="88" t="n">
        <x:v>5</x:v>
      </x:c>
      <x:c r="D82" s="88" t="n">
        <x:v>5</x:v>
      </x:c>
      <x:c r="E82" s="88" t="n">
        <x:v>5</x:v>
      </x:c>
      <x:c r="F82" s="88" t="n">
        <x:v>5</x:v>
      </x:c>
      <x:c r="G82" s="88" t="n">
        <x:v>5</x:v>
      </x:c>
      <x:c r="H82" s="88" t="n">
        <x:v>5</x:v>
      </x:c>
      <x:c r="I82" s="51" t="inlineStr">
        <x:is>
          <x:t xml:space="preserve">$/active sub</x:t>
        </x:is>
      </x:c>
      <x:c r="J82" s="51" t="inlineStr">
        <x:is>
          <x:t xml:space="preserve">Model control</x:t>
        </x:is>
      </x:c>
      <x:c r="K82" s="51" t="inlineStr">
        <x:is>
          <x:t xml:space="preserve">Control</x:t>
        </x:is>
      </x:c>
    </x:row>
  </x:sheetData>
  <x:pageMargins left="0.7" right="0.7" top="0.75" bottom="0.75" header="0.3" footer="0.3"/>
  <x:legacyDrawing xmlns:r="http://schemas.openxmlformats.org/officeDocument/2006/relationships" r:id="R07f27ff4cfbf4271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sheetData>
    <x:row r="1">
      <x:c r="B1" t="inlineStr">
        <x:is>
          <x:t xml:space="preserve">2021-22</x:t>
        </x:is>
      </x:c>
      <x:c r="C1" t="inlineStr">
        <x:is>
          <x:t xml:space="preserve">2022-23</x:t>
        </x:is>
      </x:c>
      <x:c r="D1" t="inlineStr">
        <x:is>
          <x:t xml:space="preserve">2023-24</x:t>
        </x:is>
      </x:c>
      <x:c r="E1" t="inlineStr">
        <x:is>
          <x:t xml:space="preserve">2024-25</x:t>
        </x:is>
      </x:c>
      <x:c r="F1" t="inlineStr">
        <x:is>
          <x:t xml:space="preserve">2025-26</x:t>
        </x:is>
      </x:c>
      <x:c r="G1" t="inlineStr">
        <x:is>
          <x:t xml:space="preserve">2026-27</x:t>
        </x:is>
      </x:c>
    </x:row>
    <x:row r="2">
      <x:c r="A2" t="inlineStr">
        <x:is>
          <x:t xml:space="preserve">Average Attendance</x:t>
        </x:is>
      </x:c>
      <x:c r="B2">
        <x:f>Master_Model!E6</x:f>
        <x:v>6992</x:v>
      </x:c>
      <x:c r="C2">
        <x:f>Master_Model!F6</x:f>
        <x:v>6953</x:v>
      </x:c>
      <x:c r="D2">
        <x:f>Master_Model!G6</x:f>
        <x:v>7249</x:v>
      </x:c>
      <x:c r="E2">
        <x:f>Master_Model!H6</x:f>
        <x:v>7262</x:v>
      </x:c>
      <x:c r="F2">
        <x:f>Master_Model!I6</x:f>
        <x:v>7403</x:v>
      </x:c>
      <x:c r="G2">
        <x:f>Master_Model!J6</x:f>
        <x:v>7625</x:v>
      </x:c>
    </x:row>
    <x:row r="3">
      <x:c r="A3" t="inlineStr">
        <x:is>
          <x:t xml:space="preserve">Gross Revenue</x:t>
        </x:is>
      </x:c>
      <x:c r="B3">
        <x:f>Master_Model!E52</x:f>
        <x:v>8458030.744615383</x:v>
      </x:c>
      <x:c r="C3">
        <x:f>Master_Model!F52</x:f>
        <x:v>8954438.91876923</x:v>
      </x:c>
      <x:c r="D3">
        <x:f>Master_Model!G52</x:f>
        <x:v>9771831.516923077</x:v>
      </x:c>
      <x:c r="E3">
        <x:f>Master_Model!H52</x:f>
        <x:v>10405838.464</x:v>
      </x:c>
      <x:c r="F3">
        <x:f>Master_Model!I52</x:f>
        <x:v>11210427.36</x:v>
      </x:c>
      <x:c r="G3">
        <x:f>Master_Model!J52</x:f>
        <x:v>12031865</x:v>
      </x:c>
    </x:row>
    <x:row r="4">
      <x:c r="A4" t="inlineStr">
        <x:is>
          <x:t xml:space="preserve">EBITDA</x:t>
        </x:is>
      </x:c>
      <x:c r="B4">
        <x:f>Master_Model!E98</x:f>
        <x:v>899263.7446153834</x:v>
      </x:c>
      <x:c r="C4">
        <x:f>Master_Model!F98</x:f>
        <x:v>1112461.9187692292</x:v>
      </x:c>
      <x:c r="D4">
        <x:f>Master_Model!G98</x:f>
        <x:v>733312.5169230774</x:v>
      </x:c>
      <x:c r="E4">
        <x:f>Master_Model!H98</x:f>
        <x:v>943447.4639999997</x:v>
      </x:c>
      <x:c r="F4">
        <x:f>Master_Model!I98</x:f>
        <x:v>1246049.3599999994</x:v>
      </x:c>
      <x:c r="G4">
        <x:f>Master_Model!J98</x:f>
        <x:v>1682309</x:v>
      </x:c>
    </x:row>
    <x:row r="5">
      <x:c r="A5" t="inlineStr">
        <x:is>
          <x:t xml:space="preserve">Implied Valuation</x:t>
        </x:is>
      </x:c>
      <x:c r="B5">
        <x:f>Master_Model!E102</x:f>
        <x:v>27065698.382769227</x:v>
      </x:c>
      <x:c r="C5">
        <x:f>Master_Model!F102</x:f>
        <x:v>28654204.540061533</x:v>
      </x:c>
      <x:c r="D5">
        <x:f>Master_Model!G102</x:f>
        <x:v>31269860.85415385</x:v>
      </x:c>
      <x:c r="E5">
        <x:f>Master_Model!H102</x:f>
        <x:v>33298683.0848</x:v>
      </x:c>
      <x:c r="F5">
        <x:f>Master_Model!I102</x:f>
        <x:v>35873367.552</x:v>
      </x:c>
      <x:c r="G5">
        <x:f>Master_Model!J102</x:f>
        <x:v>38501968</x:v>
      </x:c>
    </x:row>
    <x:row r="8">
      <x:c r="A8" t="inlineStr">
        <x:is>
          <x:t xml:space="preserve">Scenario</x:t>
        </x:is>
      </x:c>
      <x:c r="B8" t="inlineStr">
        <x:is>
          <x:t xml:space="preserve">Baseline</x:t>
        </x:is>
      </x:c>
      <x:c r="C8" t="inlineStr">
        <x:is>
          <x:t xml:space="preserve">Efficiency / Ops</x:t>
        </x:is>
      </x:c>
      <x:c r="D8" t="inlineStr">
        <x:is>
          <x:t xml:space="preserve">Sales &amp; Retention</x:t>
        </x:is>
      </x:c>
      <x:c r="E8" t="inlineStr">
        <x:is>
          <x:t xml:space="preserve">Premium + Sponsorship</x:t>
        </x:is>
      </x:c>
    </x:row>
    <x:row r="9">
      <x:c r="A9" t="inlineStr">
        <x:is>
          <x:t xml:space="preserve">Revenue</x:t>
        </x:is>
      </x:c>
      <x:c r="B9">
        <x:f>Master_Model!J52</x:f>
        <x:v>12031865</x:v>
      </x:c>
      <x:c r="C9">
        <x:f>Scenario_OnePager!B25</x:f>
        <x:v>12692259.393199999</x:v>
      </x:c>
      <x:c r="D9">
        <x:f>Scenario_OnePager!C25</x:f>
        <x:v>13265557.370000001</x:v>
      </x:c>
      <x:c r="E9">
        <x:f>Scenario_OnePager!D25</x:f>
        <x:v>13886162.511200001</x:v>
      </x:c>
    </x:row>
    <x:row r="10">
      <x:c r="A10" t="inlineStr">
        <x:is>
          <x:t xml:space="preserve">EBITDA</x:t>
        </x:is>
      </x:c>
      <x:c r="B10">
        <x:f>Master_Model!J98</x:f>
        <x:v>1682309</x:v>
      </x:c>
      <x:c r="C10">
        <x:f>Scenario_OnePager!B26</x:f>
        <x:v>1812722.8706610978</x:v>
      </x:c>
      <x:c r="D10">
        <x:f>Scenario_OnePager!C26</x:f>
        <x:v>1934398.6095356706</x:v>
      </x:c>
      <x:c r="E10">
        <x:f>Scenario_OnePager!D26</x:f>
        <x:v>2080440.6046014111</x:v>
      </x:c>
    </x:row>
  </x:sheetData>
  <x:pageMargins left="0.7" right="0.7" top="0.75" bottom="0.75" header="0.3" footer="0.3"/>
</x:worksheet>
</file>