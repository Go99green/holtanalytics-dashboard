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_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ster_Model" sheetId="3" state="hidden" r:id="rId3"/>
    <sheet xmlns:r="http://schemas.openxmlformats.org/officeDocument/2006/relationships" name="Scenario_OnePager" sheetId="4" state="visible" r:id="rId4"/>
    <sheet xmlns:r="http://schemas.openxmlformats.org/officeDocument/2006/relationships" name="Source_Log" sheetId="5" state="visible" r:id="rId5"/>
    <sheet xmlns:r="http://schemas.openxmlformats.org/officeDocument/2006/relationships" name="Charts" sheetId="6" state="visible" r:id="rId6"/>
    <sheet xmlns:r="http://schemas.openxmlformats.org/officeDocument/2006/relationships" name="Export_PDF_Macro" sheetId="7" state="visible" r:id="rId7"/>
  </sheets>
  <definedNames>
    <definedName name="Dashboard_Scenario_Input">'Executive_Dashboard'!$C$3</definedName>
    <definedName name="Scenario_Selector">'Assumptions'!$B$5</definedName>
    <definedName name="Attendance_Growth_Rate">'Assumptions'!$B$6</definedName>
    <definedName name="WATP_Growth_Rate">'Assumptions'!$B$7</definedName>
    <definedName name="Sponsorship_Growth_Rate">'Assumptions'!$B$8</definedName>
    <definedName name="FB_Growth_Rate">'Assumptions'!$B$9</definedName>
    <definedName name="Merch_Growth_Rate">'Assumptions'!$B$10</definedName>
    <definedName name="STM_Growth_Rate">'Assumptions'!$B$11</definedName>
    <definedName name="Single_Game_Growth_Rate">'Assumptions'!$B$12</definedName>
    <definedName name="Website_Growth_Rate">'Assumptions'!$B$13</definedName>
  </definedNames>
</workbook>
</file>

<file path=xl/styles.xml><?xml version="1.0" encoding="utf-8"?>
<styleSheet xmlns="http://schemas.openxmlformats.org/spreadsheetml/2006/main">
  <numFmts count="10">
    <numFmt numFmtId="164" formatCode="#,##0;[Red](#,##0);-"/>
    <numFmt numFmtId="165" formatCode="$#,##0;[Red]($#,##0);-"/>
    <numFmt numFmtId="166" formatCode="0.0%"/>
    <numFmt numFmtId="167" formatCode="$#,##0.00;[Red]($#,##0.00);-"/>
    <numFmt numFmtId="168" formatCode="0.0x"/>
    <numFmt numFmtId="169" formatCode="$#,##0_);[Red]($#,##0)"/>
    <numFmt numFmtId="170" formatCode="#,##0.0"/>
    <numFmt numFmtId="171" formatCode="$#,##0.0"/>
    <numFmt numFmtId="172" formatCode="$#,##0.0_);[Red]($#,##0.0)"/>
    <numFmt numFmtId="173" formatCode="0.0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b val="1"/>
      <color rgb="00666666"/>
      <sz val="9"/>
    </font>
    <font>
      <name val="Calibri"/>
      <b val="1"/>
      <color rgb="00000000"/>
      <sz val="16"/>
    </font>
    <font>
      <color rgb="00000000"/>
    </font>
    <font>
      <b val="1"/>
      <color rgb="00FFFFFF"/>
      <sz val="14"/>
    </font>
    <font>
      <i val="1"/>
      <color rgb="00D9E2F2"/>
      <sz val="10"/>
    </font>
    <font>
      <b val="1"/>
      <color rgb="00FFFFFF"/>
      <sz val="12"/>
    </font>
    <font>
      <b val="1"/>
      <color rgb="00FFFFFF"/>
    </font>
    <font>
      <b val="1"/>
      <color rgb="00000000"/>
    </font>
    <font>
      <color rgb="00FFFFFF"/>
    </font>
    <font>
      <i val="1"/>
      <color rgb="00D9E2F2"/>
    </font>
    <font>
      <b val="1"/>
      <color rgb="000000FF"/>
    </font>
    <font>
      <b val="1"/>
      <color rgb="00666666"/>
    </font>
    <font>
      <color rgb="00008000"/>
    </font>
    <font>
      <color rgb="000000FF"/>
    </font>
    <font>
      <b val="1"/>
      <color rgb="00FFFFFF"/>
      <sz val="15"/>
    </font>
    <font>
      <b val="1"/>
      <color rgb="00FFFFFF"/>
      <sz val="18"/>
    </font>
    <font>
      <color rgb="00D9E2F2"/>
    </font>
    <font>
      <i val="1"/>
      <color rgb="00D9E2F2"/>
      <sz val="9"/>
    </font>
    <font>
      <b val="1"/>
      <color rgb="00FFFFFF"/>
      <sz val="11"/>
    </font>
    <font>
      <b val="1"/>
      <color rgb="00FFFFFF"/>
      <sz val="20"/>
    </font>
    <font>
      <color rgb="00D9E2F2"/>
      <sz val="11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F3F3F3"/>
      </patternFill>
    </fill>
    <fill>
      <patternFill patternType="solid">
        <fgColor rgb="001A1A1A"/>
      </patternFill>
    </fill>
    <fill>
      <patternFill patternType="solid">
        <fgColor rgb="00002147"/>
      </patternFill>
    </fill>
    <fill>
      <patternFill patternType="solid">
        <fgColor rgb="000F2743"/>
      </patternFill>
    </fill>
    <fill>
      <patternFill patternType="solid">
        <fgColor rgb="00252525"/>
      </patternFill>
    </fill>
    <fill>
      <patternFill patternType="solid">
        <fgColor rgb="00FFF59D"/>
      </patternFill>
    </fill>
    <fill>
      <patternFill patternType="solid">
        <fgColor rgb="00E2F0D9"/>
      </patternFill>
    </fill>
    <fill>
      <patternFill patternType="solid">
        <fgColor rgb="00F4B183"/>
      </patternFill>
    </fill>
    <fill>
      <patternFill patternType="solid">
        <fgColor rgb="00C6E0B4"/>
      </patternFill>
    </fill>
    <fill>
      <patternFill patternType="solid">
        <fgColor rgb="00FC4C02"/>
      </patternFill>
    </fill>
  </fills>
  <borders count="15">
    <border>
      <left/>
      <right/>
      <top/>
      <bottom/>
      <diagonal/>
    </border>
    <border>
      <top style="medium">
        <color rgb="001F4E78"/>
      </top>
      <bottom style="thin">
        <color rgb="00D9D9D9"/>
      </bottom>
    </border>
    <border>
      <top style="medium">
        <color rgb="001F4E78"/>
      </top>
    </border>
    <border/>
    <border>
      <left style="medium">
        <color rgb="00FC4C02"/>
      </left>
      <right style="medium">
        <color rgb="00FC4C02"/>
      </right>
      <top style="medium">
        <color rgb="00FC4C02"/>
      </top>
      <bottom style="medium">
        <color rgb="00FC4C02"/>
      </bottom>
    </border>
    <border>
      <left/>
      <right/>
      <top style="medium">
        <color rgb="00FC4C02"/>
      </top>
      <bottom/>
      <diagonal/>
    </border>
    <border>
      <left/>
      <right style="medium">
        <color rgb="00FC4C02"/>
      </right>
      <top style="medium">
        <color rgb="00FC4C02"/>
      </top>
      <bottom/>
      <diagonal/>
    </border>
    <border>
      <left/>
      <right/>
      <top style="medium">
        <color rgb="00FC4C02"/>
      </top>
      <bottom style="medium">
        <color rgb="00FC4C02"/>
      </bottom>
      <diagonal/>
    </border>
    <border>
      <left/>
      <right style="medium">
        <color rgb="00FC4C02"/>
      </right>
      <top style="medium">
        <color rgb="00FC4C02"/>
      </top>
      <bottom style="medium">
        <color rgb="00FC4C02"/>
      </bottom>
      <diagonal/>
    </border>
    <border>
      <bottom style="thin">
        <color rgb="005C5C5C"/>
      </bottom>
    </border>
    <border>
      <left style="medium">
        <color rgb="00FC4C02"/>
      </left>
      <right/>
      <top/>
      <bottom/>
      <diagonal/>
    </border>
    <border>
      <left/>
      <right style="medium">
        <color rgb="00FC4C02"/>
      </right>
      <top/>
      <bottom/>
      <diagonal/>
    </border>
    <border>
      <left style="medium">
        <color rgb="00FC4C02"/>
      </left>
      <right/>
      <top/>
      <bottom style="medium">
        <color rgb="00FC4C02"/>
      </bottom>
      <diagonal/>
    </border>
    <border>
      <left/>
      <right style="medium">
        <color rgb="00FC4C02"/>
      </right>
      <top/>
      <bottom style="medium">
        <color rgb="00FC4C02"/>
      </bottom>
      <diagonal/>
    </border>
    <border>
      <left/>
      <right/>
      <top/>
      <bottom style="medium">
        <color rgb="00FC4C02"/>
      </bottom>
      <diagonal/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0" fillId="5" borderId="0" pivotButton="0" quotePrefix="0" xfId="0"/>
    <xf numFmtId="164" fontId="9" fillId="6" borderId="0" applyAlignment="1" pivotButton="0" quotePrefix="0" xfId="0">
      <alignment horizontal="center"/>
    </xf>
    <xf numFmtId="0" fontId="0" fillId="6" borderId="0" pivotButton="0" quotePrefix="0" xfId="0"/>
    <xf numFmtId="165" fontId="9" fillId="6" borderId="0" applyAlignment="1" pivotButton="0" quotePrefix="0" xfId="0">
      <alignment horizontal="center"/>
    </xf>
    <xf numFmtId="0" fontId="5" fillId="7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6" fontId="0" fillId="0" borderId="1" pivotButton="0" quotePrefix="0" xfId="0"/>
    <xf numFmtId="166" fontId="6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6" fontId="0" fillId="0" borderId="0" pivotButton="0" quotePrefix="0" xfId="0"/>
    <xf numFmtId="166" fontId="6" fillId="4" borderId="0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6" fillId="4" borderId="0" applyAlignment="1" pivotButton="0" quotePrefix="0" xfId="0">
      <alignment vertical="center"/>
    </xf>
    <xf numFmtId="167" fontId="6" fillId="4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7" fontId="6" fillId="4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0" fillId="0" borderId="0" pivotButton="0" quotePrefix="0" xfId="0"/>
    <xf numFmtId="165" fontId="6" fillId="4" borderId="0" applyAlignment="1" pivotButton="0" quotePrefix="0" xfId="0">
      <alignment vertical="center"/>
    </xf>
    <xf numFmtId="4" fontId="6" fillId="4" borderId="0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7" fontId="0" fillId="0" borderId="1" pivotButton="0" quotePrefix="0" xfId="0"/>
    <xf numFmtId="164" fontId="0" fillId="0" borderId="0" pivotButton="0" quotePrefix="0" xfId="0"/>
    <xf numFmtId="168" fontId="6" fillId="4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165" fontId="7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0" fontId="5" fillId="0" borderId="2" applyAlignment="1" pivotButton="0" quotePrefix="0" xfId="0">
      <alignment wrapText="1"/>
    </xf>
    <xf numFmtId="4" fontId="7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9" fillId="6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9" fillId="6" borderId="0" applyAlignment="1" pivotButton="0" quotePrefix="0" xfId="0">
      <alignment horizontal="center"/>
    </xf>
    <xf numFmtId="165" fontId="9" fillId="6" borderId="0" applyAlignment="1" pivotButton="0" quotePrefix="0" xfId="0">
      <alignment horizontal="center"/>
    </xf>
    <xf numFmtId="166" fontId="0" fillId="0" borderId="1" pivotButton="0" quotePrefix="0" xfId="0"/>
    <xf numFmtId="166" fontId="6" fillId="4" borderId="1" applyAlignment="1" pivotButton="0" quotePrefix="0" xfId="0">
      <alignment vertical="center"/>
    </xf>
    <xf numFmtId="166" fontId="0" fillId="0" borderId="0" pivotButton="0" quotePrefix="0" xfId="0"/>
    <xf numFmtId="166" fontId="6" fillId="4" borderId="0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6" fillId="4" borderId="0" applyAlignment="1" pivotButton="0" quotePrefix="0" xfId="0">
      <alignment vertical="center"/>
    </xf>
    <xf numFmtId="167" fontId="6" fillId="4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7" fontId="6" fillId="4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0" fillId="0" borderId="0" pivotButton="0" quotePrefix="0" xfId="0"/>
    <xf numFmtId="165" fontId="6" fillId="4" borderId="0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7" fontId="0" fillId="0" borderId="1" pivotButton="0" quotePrefix="0" xfId="0"/>
    <xf numFmtId="164" fontId="0" fillId="0" borderId="0" pivotButton="0" quotePrefix="0" xfId="0"/>
    <xf numFmtId="164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5" fontId="9" fillId="6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0" applyAlignment="1" pivotButton="0" quotePrefix="0" xfId="0">
      <alignment vertical="center"/>
    </xf>
    <xf numFmtId="0" fontId="10" fillId="8" borderId="3" pivotButton="0" quotePrefix="0" xfId="0"/>
    <xf numFmtId="0" fontId="23" fillId="8" borderId="3" pivotButton="0" quotePrefix="0" xfId="0"/>
    <xf numFmtId="0" fontId="12" fillId="8" borderId="3" pivotButton="0" quotePrefix="0" xfId="0"/>
    <xf numFmtId="0" fontId="14" fillId="9" borderId="3" pivotButton="0" quotePrefix="0" xfId="0"/>
    <xf numFmtId="0" fontId="15" fillId="12" borderId="3" applyAlignment="1" applyProtection="1" pivotButton="0" quotePrefix="0" xfId="0">
      <alignment horizontal="center"/>
      <protection locked="0" hidden="0"/>
    </xf>
    <xf numFmtId="0" fontId="15" fillId="13" borderId="3" pivotButton="0" quotePrefix="0" xfId="0"/>
    <xf numFmtId="164" fontId="10" fillId="8" borderId="3" pivotButton="0" quotePrefix="0" xfId="0"/>
    <xf numFmtId="0" fontId="26" fillId="9" borderId="4" applyAlignment="1" pivotButton="0" quotePrefix="0" xfId="0">
      <alignment horizontal="center"/>
    </xf>
    <xf numFmtId="0" fontId="0" fillId="9" borderId="4" pivotButton="0" quotePrefix="0" xfId="0"/>
    <xf numFmtId="165" fontId="26" fillId="9" borderId="4" applyAlignment="1" pivotButton="0" quotePrefix="0" xfId="0">
      <alignment horizontal="center"/>
    </xf>
    <xf numFmtId="165" fontId="10" fillId="8" borderId="3" pivotButton="0" quotePrefix="0" xfId="0"/>
    <xf numFmtId="169" fontId="27" fillId="11" borderId="4" applyAlignment="1" pivotButton="0" quotePrefix="0" xfId="0">
      <alignment horizontal="center" vertical="center"/>
    </xf>
    <xf numFmtId="0" fontId="0" fillId="11" borderId="4" pivotButton="0" quotePrefix="0" xfId="0"/>
    <xf numFmtId="166" fontId="27" fillId="11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0" fontId="0" fillId="16" borderId="4" pivotButton="0" quotePrefix="0" xfId="0"/>
    <xf numFmtId="0" fontId="28" fillId="8" borderId="3" applyAlignment="1" pivotButton="0" quotePrefix="0" xfId="0">
      <alignment vertical="top" wrapText="1"/>
    </xf>
    <xf numFmtId="3" fontId="10" fillId="8" borderId="3" pivotButton="0" quotePrefix="0" xfId="0"/>
    <xf numFmtId="169" fontId="10" fillId="8" borderId="3" pivotButton="0" quotePrefix="0" xfId="0"/>
    <xf numFmtId="0" fontId="10" fillId="0" borderId="3" pivotButton="0" quotePrefix="0" xfId="0"/>
    <xf numFmtId="0" fontId="11" fillId="8" borderId="3" pivotButton="0" quotePrefix="0" xfId="0"/>
    <xf numFmtId="0" fontId="13" fillId="9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14" fillId="8" borderId="3" pivotButton="0" quotePrefix="0" xfId="0"/>
    <xf numFmtId="0" fontId="15" fillId="4" borderId="3" pivotButton="0" quotePrefix="0" xfId="0"/>
    <xf numFmtId="166" fontId="10" fillId="8" borderId="3" pivotButton="0" quotePrefix="0" xfId="0"/>
    <xf numFmtId="166" fontId="14" fillId="10" borderId="3" applyAlignment="1" pivotButton="0" quotePrefix="0" xfId="0">
      <alignment horizontal="center"/>
    </xf>
    <xf numFmtId="0" fontId="14" fillId="10" borderId="3" applyAlignment="1" pivotButton="0" quotePrefix="0" xfId="0">
      <alignment horizontal="center"/>
    </xf>
    <xf numFmtId="0" fontId="16" fillId="10" borderId="3" pivotButton="0" quotePrefix="0" xfId="0"/>
    <xf numFmtId="166" fontId="15" fillId="13" borderId="3" pivotButton="0" quotePrefix="0" xfId="0"/>
    <xf numFmtId="166" fontId="16" fillId="11" borderId="3" pivotButton="0" quotePrefix="0" xfId="0"/>
    <xf numFmtId="166" fontId="18" fillId="12" borderId="3" applyAlignment="1" applyProtection="1" pivotButton="0" quotePrefix="0" xfId="0">
      <alignment horizontal="center"/>
      <protection locked="0" hidden="0"/>
    </xf>
    <xf numFmtId="0" fontId="17" fillId="11" borderId="3" pivotButton="0" quotePrefix="0" xfId="0"/>
    <xf numFmtId="0" fontId="16" fillId="8" borderId="3" pivotButton="0" quotePrefix="0" xfId="0"/>
    <xf numFmtId="164" fontId="16" fillId="11" borderId="3" pivotButton="0" quotePrefix="0" xfId="0"/>
    <xf numFmtId="164" fontId="10" fillId="0" borderId="3" pivotButton="0" quotePrefix="0" xfId="0"/>
    <xf numFmtId="0" fontId="14" fillId="9" borderId="4" pivotButton="0" quotePrefix="0" xfId="0"/>
    <xf numFmtId="164" fontId="14" fillId="9" borderId="4" pivotButton="0" quotePrefix="0" xfId="0"/>
    <xf numFmtId="0" fontId="19" fillId="0" borderId="9" pivotButton="0" quotePrefix="0" xfId="0"/>
    <xf numFmtId="0" fontId="10" fillId="0" borderId="9" pivotButton="0" quotePrefix="0" xfId="0"/>
    <xf numFmtId="164" fontId="20" fillId="0" borderId="9" pivotButton="0" quotePrefix="0" xfId="0"/>
    <xf numFmtId="170" fontId="21" fillId="0" borderId="9" pivotButton="0" quotePrefix="0" xfId="0"/>
    <xf numFmtId="169" fontId="21" fillId="0" borderId="9" pivotButton="0" quotePrefix="0" xfId="0"/>
    <xf numFmtId="3" fontId="20" fillId="0" borderId="9" pivotButton="0" quotePrefix="0" xfId="0"/>
    <xf numFmtId="164" fontId="10" fillId="0" borderId="9" pivotButton="0" quotePrefix="0" xfId="0"/>
    <xf numFmtId="3" fontId="21" fillId="0" borderId="9" pivotButton="0" quotePrefix="0" xfId="0"/>
    <xf numFmtId="169" fontId="20" fillId="0" borderId="9" pivotButton="0" quotePrefix="0" xfId="0"/>
    <xf numFmtId="166" fontId="10" fillId="0" borderId="9" pivotButton="0" quotePrefix="0" xfId="0"/>
    <xf numFmtId="167" fontId="10" fillId="0" borderId="9" pivotButton="0" quotePrefix="0" xfId="0"/>
    <xf numFmtId="166" fontId="20" fillId="0" borderId="9" pivotButton="0" quotePrefix="0" xfId="0"/>
    <xf numFmtId="167" fontId="20" fillId="0" borderId="9" pivotButton="0" quotePrefix="0" xfId="0"/>
    <xf numFmtId="166" fontId="21" fillId="0" borderId="9" pivotButton="0" quotePrefix="0" xfId="0"/>
    <xf numFmtId="170" fontId="20" fillId="0" borderId="9" pivotButton="0" quotePrefix="0" xfId="0"/>
    <xf numFmtId="165" fontId="10" fillId="0" borderId="9" pivotButton="0" quotePrefix="0" xfId="0"/>
    <xf numFmtId="165" fontId="20" fillId="0" borderId="9" pivotButton="0" quotePrefix="0" xfId="0"/>
    <xf numFmtId="168" fontId="20" fillId="0" borderId="9" pivotButton="0" quotePrefix="0" xfId="0"/>
    <xf numFmtId="168" fontId="21" fillId="0" borderId="9" pivotButton="0" quotePrefix="0" xfId="0"/>
    <xf numFmtId="0" fontId="22" fillId="8" borderId="3" pivotButton="0" quotePrefix="0" xfId="0"/>
    <xf numFmtId="169" fontId="23" fillId="11" borderId="4" applyAlignment="1" pivotButton="0" quotePrefix="0" xfId="0">
      <alignment horizontal="center" vertical="center"/>
    </xf>
    <xf numFmtId="3" fontId="23" fillId="11" borderId="4" applyAlignment="1" pivotButton="0" quotePrefix="0" xfId="0">
      <alignment horizontal="center" vertical="center"/>
    </xf>
    <xf numFmtId="166" fontId="14" fillId="9" borderId="3" pivotButton="0" quotePrefix="0" xfId="0"/>
    <xf numFmtId="0" fontId="14" fillId="8" borderId="9" pivotButton="0" quotePrefix="0" xfId="0"/>
    <xf numFmtId="166" fontId="15" fillId="12" borderId="9" applyAlignment="1" pivotButton="0" quotePrefix="0" xfId="0">
      <alignment horizontal="center"/>
    </xf>
    <xf numFmtId="166" fontId="15" fillId="14" borderId="9" applyAlignment="1" pivotButton="0" quotePrefix="0" xfId="0">
      <alignment horizontal="center"/>
    </xf>
    <xf numFmtId="166" fontId="15" fillId="15" borderId="9" applyAlignment="1" pivotButton="0" quotePrefix="0" xfId="0">
      <alignment horizontal="center"/>
    </xf>
    <xf numFmtId="0" fontId="24" fillId="8" borderId="9" applyAlignment="1" pivotButton="0" quotePrefix="0" xfId="0">
      <alignment vertical="top" wrapText="1"/>
    </xf>
    <xf numFmtId="0" fontId="15" fillId="12" borderId="9" applyAlignment="1" pivotButton="0" quotePrefix="0" xfId="0">
      <alignment horizontal="center"/>
    </xf>
    <xf numFmtId="0" fontId="15" fillId="14" borderId="9" applyAlignment="1" pivotButton="0" quotePrefix="0" xfId="0">
      <alignment horizontal="center"/>
    </xf>
    <xf numFmtId="0" fontId="15" fillId="15" borderId="9" applyAlignment="1" pivotButton="0" quotePrefix="0" xfId="0">
      <alignment horizontal="center"/>
    </xf>
    <xf numFmtId="167" fontId="10" fillId="8" borderId="3" pivotButton="0" quotePrefix="0" xfId="0"/>
    <xf numFmtId="0" fontId="24" fillId="8" borderId="9" pivotButton="0" quotePrefix="0" xfId="0"/>
    <xf numFmtId="171" fontId="24" fillId="8" borderId="9" pivotButton="0" quotePrefix="0" xfId="0"/>
    <xf numFmtId="0" fontId="25" fillId="8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9" fontId="27" fillId="11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9" fontId="10" fillId="8" borderId="3" pivotButton="0" quotePrefix="0" xfId="0"/>
    <xf numFmtId="170" fontId="21" fillId="0" borderId="9" pivotButton="0" quotePrefix="0" xfId="0"/>
    <xf numFmtId="169" fontId="21" fillId="0" borderId="9" pivotButton="0" quotePrefix="0" xfId="0"/>
    <xf numFmtId="169" fontId="20" fillId="0" borderId="9" pivotButton="0" quotePrefix="0" xfId="0"/>
    <xf numFmtId="170" fontId="20" fillId="0" borderId="9" pivotButton="0" quotePrefix="0" xfId="0"/>
    <xf numFmtId="169" fontId="23" fillId="11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4" pivotButton="0" quotePrefix="0" xfId="0"/>
    <xf numFmtId="3" fontId="10" fillId="0" borderId="9" pivotButton="0" quotePrefix="0" xfId="0"/>
    <xf numFmtId="169" fontId="10" fillId="0" borderId="9" pivotButton="0" quotePrefix="0" xfId="0"/>
    <xf numFmtId="172" fontId="20" fillId="0" borderId="9" pivotButton="0" quotePrefix="0" xfId="0"/>
    <xf numFmtId="172" fontId="21" fillId="0" borderId="9" pivotButton="0" quotePrefix="0" xfId="0"/>
    <xf numFmtId="172" fontId="10" fillId="0" borderId="9" pivotButton="0" quotePrefix="0" xfId="0"/>
    <xf numFmtId="173" fontId="20" fillId="0" borderId="9" pivotButton="0" quotePrefix="0" xfId="0"/>
    <xf numFmtId="173" fontId="21" fillId="0" borderId="9" pivotButton="0" quotePrefix="0" xfId="0"/>
    <xf numFmtId="3" fontId="10" fillId="0" borderId="3" pivotButton="0" quotePrefix="0" xfId="0"/>
    <xf numFmtId="172" fontId="20" fillId="0" borderId="9" pivotButton="0" quotePrefix="0" xfId="0"/>
    <xf numFmtId="172" fontId="21" fillId="0" borderId="9" pivotButton="0" quotePrefix="0" xfId="0"/>
    <xf numFmtId="172" fontId="10" fillId="0" borderId="9" pivotButton="0" quotePrefix="0" xfId="0"/>
    <xf numFmtId="173" fontId="20" fillId="0" borderId="9" pivotButton="0" quotePrefix="0" xfId="0"/>
    <xf numFmtId="173" fontId="21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'Executive_Dashboard'!$B$23:$G$23</f>
            </numRef>
          </cat>
          <val>
            <numRef>
              <f>'Executive_Dashboard'!$B$24:$G$24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/ EBITDA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'Executive_Dashboard'!$B$23:$G$23</f>
            </numRef>
          </cat>
          <val>
            <numRef>
              <f>'Executive_Dashboard'!$B$25:$G$25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'Executive_Dashboard'!$B$23:$G$23</f>
            </numRef>
          </cat>
          <val>
            <numRef>
              <f>'Executive_Dashboard'!$B$26:$G$26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'Charts'!$B$3:$G$3</f>
            </numRef>
          </cat>
          <val>
            <numRef>
              <f>'Charts'!$B$5:$G$5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'Charts'!$B$3:$G$3</f>
            </numRef>
          </cat>
          <val>
            <numRef>
              <f>'Charts'!$B$6:$G$6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'Charts'!$B$3:$G$3</f>
            </numRef>
          </cat>
          <val>
            <numRef>
              <f>'Charts'!$B$4:$G$4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Implied Franchise Value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'Charts'!$B$3:$G$3</f>
            </numRef>
          </cat>
          <val>
            <numRef>
              <f>'Charts'!$B$7:$G$7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3" authorId="0" shapeId="0">
      <text>
        <t>Choose Baseline, Tactical Upside, or Aggressive Growth. This drives FY2026-27 projections and all linked charts.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24" authorId="0" shapeId="0">
      <text>
        <t>https://www.hockeydb.com/stte/san-diego-gulls-11619.html</t>
      </text>
    </comment>
    <comment ref="B33" authorId="0" shapeId="0">
      <text>
        <t>https://www.sandiegogulls.com/schedule/promotions-schedule</t>
      </text>
    </comment>
    <comment ref="B36" authorId="0" shapeId="0">
      <text>
        <t>https://www.sandiegogulls.com/news/detail/san-diego-gulls-announce-2025-26-regular-season-schedule-july-10-2025</t>
      </text>
    </comment>
    <comment ref="B37" authorId="0" shapeId="0">
      <text>
        <t>https://www.sandiegogulls.com/news/detail/single-game-tickets-available-now</t>
      </text>
    </comment>
    <comment ref="B39" authorId="0" shapeId="0">
      <text>
        <t>https://www.sandiegogulls.com/tickets/college</t>
      </text>
    </comment>
    <comment ref="B40" authorId="0" shapeId="0">
      <text>
        <t>https://www.sandiegogulls.com/tickets/4-packs</t>
      </text>
    </comment>
    <comment ref="B61" authorId="0" shapeId="0">
      <text>
        <t>https://www.similarweb.com/website/sandiegogulls.com/</t>
      </text>
    </comment>
    <comment ref="B69" authorId="0" shapeId="0">
      <text>
        <t>https://www.sandiego.gov/sites/default/files/nora_interim_lease.pdf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2" authorId="0" shapeId="0">
      <text>
        <t>Projection control; applied to 2025-26 average attendance to set 2026-27 baseline.</t>
      </text>
    </comment>
    <comment ref="A3" authorId="0" shapeId="0">
      <text>
        <t>Projection control; applied to 2025-26 modeled weighted average ticket price.</t>
      </text>
    </comment>
    <comment ref="A4" authorId="0" shapeId="0">
      <text>
        <t>Projection control; applied to 2025-26 sponsorship estimate.</t>
      </text>
    </comment>
    <comment ref="A5" authorId="0" shapeId="0">
      <text>
        <t>Projection control; applied to 2025-26 modeled F&amp;B per-cap.</t>
      </text>
    </comment>
    <comment ref="A6" authorId="0" shapeId="0">
      <text>
        <t>Projection control; applied to 2025-26 modeled merchandise per-cap.</t>
      </text>
    </comment>
    <comment ref="A7" authorId="0" shapeId="0">
      <text>
        <t>Projection control; applied to 2025-26 STM entry price.</t>
      </text>
    </comment>
    <comment ref="A8" authorId="0" shapeId="0">
      <text>
        <t>Projection control; applied to 2025-26 single-game floor.</t>
      </text>
    </comment>
    <comment ref="A9" authorId="0" shapeId="0">
      <text>
        <t>Projection control; applied to 2025-26 Similarweb visit estimate.</t>
      </text>
    </comment>
    <comment ref="A10" authorId="0" shapeId="0">
      <text>
        <t>HockeyDB franchise history page for San Diego Gulls; 2026-27 projected from 2025-26 x growth control.</t>
      </text>
    </comment>
    <comment ref="A11" authorId="0" shapeId="0">
      <text>
        <t>AHL schedules and season formats; 2021-22 was 68-game season (34 home), then 72-game seasons (36 home).</t>
      </text>
    </comment>
    <comment ref="A12" authorId="0" shapeId="0">
      <text>
        <t>Media guide hockey capacity anchor used for RevPAS.</t>
      </text>
    </comment>
    <comment ref="A13" authorId="0" shapeId="0">
      <text>
        <t>Current Pechanga Arena listed capacity.</t>
      </text>
    </comment>
    <comment ref="A14" authorId="0" shapeId="0">
      <text>
        <t>Official yearly schedule releases.</t>
      </text>
    </comment>
    <comment ref="A15" authorId="0" shapeId="0">
      <text>
        <t>Official yearly schedule releases.</t>
      </text>
    </comment>
    <comment ref="A16" authorId="0" shapeId="0">
      <text>
        <t>Official yearly schedule releases; 2026-27 baseline projected mix.</t>
      </text>
    </comment>
    <comment ref="A17" authorId="0" shapeId="0">
      <text>
        <t>Official yearly schedule releases; 2026-27 baseline projected mix.</t>
      </text>
    </comment>
    <comment ref="A18" authorId="0" shapeId="0">
      <text>
        <t>Official yearly schedule releases / current ticket article for 2025-26.</t>
      </text>
    </comment>
    <comment ref="A19" authorId="0" shapeId="0">
      <text>
        <t>Official promo schedule releases; 2025-26 uses 8 anniversary nights + 20 additional promotional nights. 2026-27 projected modest expansion.</t>
      </text>
    </comment>
    <comment ref="A20" authorId="0" shapeId="0">
      <text>
        <t>Official promo schedule releases; 2025-26 currently lists five announced giveaways.</t>
      </text>
    </comment>
    <comment ref="A21" authorId="0" shapeId="0">
      <text>
        <t>Official promo schedule releases; 2026-27 projected modest expansion.</t>
      </text>
    </comment>
    <comment ref="A22" authorId="0" shapeId="0">
      <text>
        <t>Official Gulls Elite / schedule / home opener releases.</t>
      </text>
    </comment>
    <comment ref="A23" authorId="0" shapeId="0">
      <text>
        <t>2021, 2022, 2023, 2025 are from official ticket on-sale articles; 2024-25 interpolated estimate because official 2024 floor was not captured in reviewed sources.</t>
      </text>
    </comment>
    <comment ref="A24" authorId="0" shapeId="0">
      <text>
        <t>2025-26 official online floor incl. fees; 2024-25 and 2026-27 are modeled estimates around current fee architecture.</t>
      </text>
    </comment>
    <comment ref="A25" authorId="0" shapeId="0">
      <text>
        <t>Official college ticket page current season; 2026-27 projected mild inflation.</t>
      </text>
    </comment>
    <comment ref="A26" authorId="0" shapeId="0">
      <text>
        <t>Official current family pack page; used as current merchandising/ticket bundle anchor.</t>
      </text>
    </comment>
    <comment ref="A27" authorId="0" shapeId="0">
      <text>
        <t>Official group page current; assumed stable historically.</t>
      </text>
    </comment>
    <comment ref="A28" authorId="0" shapeId="0">
      <text>
        <t>Current mini-plan discounts are public; older-year values are conservative modeled placeholders to support trend analysis.</t>
      </text>
    </comment>
    <comment ref="A29" authorId="0" shapeId="0">
      <text>
        <t>Modeled from STM entry floors, single-game floors, college pricing, family packs, and group/premium mix.</t>
      </text>
    </comment>
    <comment ref="A30" authorId="0" shapeId="0">
      <text>
        <t>Logical range based on minor-league group channel importance; used as a model driver only.</t>
      </text>
    </comment>
    <comment ref="A31" authorId="0" shapeId="0">
      <text>
        <t>Logical estimate of premium inventory revenue; treated as embedded within gate yield, not additive to avoid double-counting.</t>
      </text>
    </comment>
    <comment ref="A32" authorId="0" shapeId="0">
      <text>
        <t>Modeled from attendance, STM pricing, and minor-league ticket mix benchmarks.</t>
      </text>
    </comment>
    <comment ref="A33" authorId="0" shapeId="0">
      <text>
        <t>Modeled retention range based on affiliated minor-league season ticket behavior.</t>
      </text>
    </comment>
    <comment ref="A34" authorId="0" shapeId="0">
      <text>
        <t>Modeled gross in-building F&amp;B spend per attendee using San Diego arena pricing context and minor-league benchmarks.</t>
      </text>
    </comment>
    <comment ref="A35" authorId="0" shapeId="0">
      <text>
        <t>Logical commission rate placeholder because the team's actual arena F&amp;B split is private.</t>
      </text>
    </comment>
    <comment ref="A36" authorId="0" shapeId="0">
      <text>
        <t>Modeled per-cap merchandise spend using minor-league team-store benchmarks.</t>
      </text>
    </comment>
    <comment ref="A37" authorId="0" shapeId="0">
      <text>
        <t>Parking is event-specific and publicly listed on event pages; these are reasonable historical/current assumptions, not disclosed team averages.</t>
      </text>
    </comment>
    <comment ref="A38" authorId="0" shapeId="0">
      <text>
        <t>Standard event attendance transport assumption for parking yield estimation.</t>
      </text>
    </comment>
    <comment ref="A39" authorId="0" shapeId="0">
      <text>
        <t>No public Gulls-specific parking split was found; logical nominal team-side share only.</t>
      </text>
    </comment>
    <comment ref="A40" authorId="0" shapeId="0">
      <text>
        <t>Modeled total sponsorship / partner revenue based on visible inventory depth, AHL benchmarks, and partner footprint.</t>
      </text>
    </comment>
    <comment ref="A41" authorId="0" shapeId="0">
      <text>
        <t>Modeled anchor-partner value. Included within total sponsorship revenue.</t>
      </text>
    </comment>
    <comment ref="A42" authorId="0" shapeId="0">
      <text>
        <t>Modeled jersey/patch branding value. Included within total sponsorship revenue.</t>
      </text>
    </comment>
    <comment ref="A43" authorId="0" shapeId="0">
      <text>
        <t>Modeled 'presented by' / app / social / email / owned media inventory value. Included within total sponsorship revenue.</t>
      </text>
    </comment>
    <comment ref="A44" authorId="0" shapeId="0">
      <text>
        <t>Modeled local TV + streaming share value; AHLTV / FloHockey is league-managed.</t>
      </text>
    </comment>
    <comment ref="A45" authorId="0" shapeId="0">
      <text>
        <t>Modeled active owned-email scale using team digital footprint and typical sports CRM penetration.</t>
      </text>
    </comment>
    <comment ref="A46" authorId="0" shapeId="0">
      <text>
        <t>Estimated aggregate audience across major social platforms; current public footprint includes roughly 79K Instagram, 30K X, 15K TikTok plus Facebook audience.</t>
      </text>
    </comment>
    <comment ref="A47" authorId="0" shapeId="0">
      <text>
        <t>Similarweb estimate used for current-year anchor; earlier years trended conservatively.</t>
      </text>
    </comment>
    <comment ref="A48" authorId="0" shapeId="0">
      <text>
        <t>Similarweb estimate anchor for current-year and trended historical/projection values.</t>
      </text>
    </comment>
    <comment ref="A49" authorId="0" shapeId="0">
      <text>
        <t>Similarweb estimate anchor for current-year and trended historical/projection values.</t>
      </text>
    </comment>
    <comment ref="A50" authorId="0" shapeId="0">
      <text>
        <t>Similarweb estimate anchor for current-year and trended historical/projection values.</t>
      </text>
    </comment>
    <comment ref="A51" authorId="0" shapeId="0">
      <text>
        <t>Similarweb estimate anchor for current-year and trended historical/projection values.</t>
      </text>
    </comment>
    <comment ref="A52" authorId="0" shapeId="0">
      <text>
        <t>Modeled CAC based on digital footprint and minor-league paid media economics.</t>
      </text>
    </comment>
    <comment ref="A53" authorId="0" shapeId="0">
      <text>
        <t>Modeled fan-sentiment proxy; not an official survey result.</t>
      </text>
    </comment>
    <comment ref="A54" authorId="0" shapeId="0">
      <text>
        <t>Modeled from current lease-era surcharge structure discussed in public reporting; pre-lease years not confirmed.</t>
      </text>
    </comment>
    <comment ref="A55" authorId="0" shapeId="0">
      <text>
        <t>Public arena-level lease floor for operator; team sublease economics are not public. 2026-27 assumes ~2% step-up.</t>
      </text>
    </comment>
    <comment ref="A56" authorId="0" shapeId="0">
      <text>
        <t>Derived from annualized minimum rent floor progression.</t>
      </text>
    </comment>
    <comment ref="A57" authorId="0" shapeId="0">
      <text>
        <t>Modeled event security cost using city event-policing framework and arena setting.</t>
      </text>
    </comment>
    <comment ref="A58" authorId="0" shapeId="0">
      <text>
        <t>Modeled annual utilities / ice / cooling cost allocation for hockey dates.</t>
      </text>
    </comment>
    <comment ref="A59" authorId="0" shapeId="0">
      <text>
        <t>Modeled annual conversion cost allocation for a mixed-use arena.</t>
      </text>
    </comment>
    <comment ref="A60" authorId="0" shapeId="0">
      <text>
        <t>No public team-side assessment identified in reviewed materials.</t>
      </text>
    </comment>
    <comment ref="A61" authorId="0" shapeId="0">
      <text>
        <t>Directional planning metric keyed to interim lease / redevelopment timeline, not a legal opinion.</t>
      </text>
    </comment>
    <comment ref="A62" authorId="0" shapeId="0">
      <text>
        <t>Logical annual value attributed to team operations from arena-level naming-rights ecosystem; not publicly disclosed by team.</t>
      </text>
    </comment>
    <comment ref="A63" authorId="0" shapeId="0">
      <text>
        <t>Logical placeholder for local tax / business filing burden; not publicly disclosed.</t>
      </text>
    </comment>
    <comment ref="A64" authorId="0" shapeId="0">
      <text>
        <t>No public debt structure found; nominal placeholder only.</t>
      </text>
    </comment>
    <comment ref="A65" authorId="0" shapeId="0">
      <text>
        <t>Opening night / current roster anchors from official materials and current roster page.</t>
      </text>
    </comment>
    <comment ref="A66" authorId="0" shapeId="0">
      <text>
        <t>Modeled head coach + assistants + video support payroll for NHL-owned AHL team.</t>
      </text>
    </comment>
    <comment ref="A67" authorId="0" shapeId="0">
      <text>
        <t>Estimated from official front-office listings and LinkedIn company-size context.</t>
      </text>
    </comment>
    <comment ref="A68" authorId="0" shapeId="0">
      <text>
        <t>Modeled training / recovery / sports science spend allocation.</t>
      </text>
    </comment>
    <comment ref="A69" authorId="0" shapeId="0">
      <text>
        <t>Share of road schedule requiring flights or long-haul travel rather than short bus trips.</t>
      </text>
    </comment>
    <comment ref="A70" authorId="0" shapeId="0">
      <text>
        <t>Modeled housing stipend / support budget for San Diego market.</t>
      </text>
    </comment>
    <comment ref="A71" authorId="0" shapeId="0">
      <text>
        <t>Public PHPA minimum visible for 2024-25; other years benchmarked / stepped.</t>
      </text>
    </comment>
    <comment ref="A72" authorId="0" shapeId="0">
      <text>
        <t>Modeled non-NHL-contracted average salary.</t>
      </text>
    </comment>
    <comment ref="A73" authorId="0" shapeId="0">
      <text>
        <t>Modeled workers' comp / liability / sports risk coverage allocation.</t>
      </text>
    </comment>
    <comment ref="A74" authorId="0" shapeId="0">
      <text>
        <t>Modeled annual equipment budget.</t>
      </text>
    </comment>
    <comment ref="A75" authorId="0" shapeId="0">
      <text>
        <t>Approximate Ducks-controlled development pipeline count; 2024 opening-night game notes cited nine drafted players.</t>
      </text>
    </comment>
    <comment ref="A76" authorId="0" shapeId="0">
      <text>
        <t>Modeled payroll / hockey ops support absorbed by Anaheim Ducks in NHL-owned affiliate structure.</t>
      </text>
    </comment>
    <comment ref="A77" authorId="0" shapeId="0">
      <text>
        <t>Logical direct youth / grassroots revenue estimate attributable to club ecosystem.</t>
      </text>
    </comment>
    <comment ref="A78" authorId="0" shapeId="0">
      <text>
        <t>Logical asset placeholder; foundation has publicly contributed over $1 million cumulatively but does not disclose current balance here.</t>
      </text>
    </comment>
    <comment ref="A79" authorId="0" shapeId="0">
      <text>
        <t>Modeled cross-promotional / Ducks ecosystem value.</t>
      </text>
    </comment>
    <comment ref="A80" authorId="0" shapeId="0">
      <text>
        <t>Logical brand-asset valuation placeholder.</t>
      </text>
    </comment>
    <comment ref="A81" authorId="0" shapeId="0">
      <text>
        <t>User-directed valuation multiple.</t>
      </text>
    </comment>
    <comment ref="A82" authorId="0" shapeId="0">
      <text>
        <t>User-directed valuation heuristic.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4" authorId="0" shapeId="0">
      <text>
        <t>Copy into Alt+F11 &gt; Insert Module in Excel, then assign to a shape/button.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30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30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0</row>
      <rowOff>0</rowOff>
    </from>
    <ext cx="12858750" cy="3000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Scenario_OnePager!A1" TargetMode="External" Id="rId1"/><Relationship Type="http://schemas.openxmlformats.org/officeDocument/2006/relationships/hyperlink" Target="#Scenario_OnePager!H20" TargetMode="External" Id="rId2"/><Relationship Type="http://schemas.openxmlformats.org/officeDocument/2006/relationships/hyperlink" Target="#Assumptions!A4" TargetMode="External" Id="rId3"/><Relationship Type="http://schemas.openxmlformats.org/officeDocument/2006/relationships/hyperlink" Target="#Source_Log!A1" TargetMode="External" Id="rId4"/><Relationship Type="http://schemas.openxmlformats.org/officeDocument/2006/relationships/drawing" Target="/xl/drawings/drawing1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4" customWidth="1" min="4" max="4"/>
    <col width="18" customWidth="1" min="5" max="5"/>
    <col width="16" customWidth="1" min="6" max="6"/>
    <col width="4" customWidth="1" min="7" max="7"/>
    <col width="18" customWidth="1" min="8" max="8"/>
    <col width="16" customWidth="1" min="9" max="9"/>
    <col width="4" customWidth="1" min="10" max="10"/>
    <col width="18" customWidth="1" min="11" max="11"/>
    <col width="16" customWidth="1" min="12" max="12"/>
    <col width="4" customWidth="1" min="13" max="13"/>
    <col width="4" customWidth="1" min="14" max="14"/>
  </cols>
  <sheetData>
    <row r="1" ht="28" customHeight="1">
      <c r="A1" s="91" t="n"/>
      <c r="B1" s="92" t="inlineStr">
        <is>
          <t>SAN DIEGO GULLS — EXECUTIVE DASHBOARD</t>
        </is>
      </c>
      <c r="M1" s="91" t="n"/>
      <c r="N1" s="91" t="n"/>
    </row>
    <row r="2" ht="20" customHeight="1">
      <c r="A2" s="91" t="n"/>
      <c r="B2" s="93" t="inlineStr">
        <is>
          <t>2021-22 to 2026-27 forensic operating model | public anchors + interactive scenario planning</t>
        </is>
      </c>
      <c r="J2" s="91" t="n"/>
      <c r="K2" s="91" t="n"/>
      <c r="L2" s="91" t="n"/>
      <c r="M2" s="91" t="n"/>
      <c r="N2" s="91" t="n"/>
    </row>
    <row r="3" ht="22" customHeight="1">
      <c r="A3" s="91" t="n"/>
      <c r="B3" s="94" t="inlineStr">
        <is>
          <t>Scenario</t>
        </is>
      </c>
      <c r="C3" s="95" t="inlineStr">
        <is>
          <t>Baseline</t>
        </is>
      </c>
      <c r="D3" s="91" t="n"/>
      <c r="E3" s="94" t="inlineStr">
        <is>
          <t>Model status</t>
        </is>
      </c>
      <c r="F3" s="96" t="inlineStr">
        <is>
          <t>Live / scenario-linked</t>
        </is>
      </c>
      <c r="G3" s="91" t="n"/>
      <c r="H3" s="91" t="n"/>
      <c r="I3" s="91" t="n"/>
      <c r="J3" s="91" t="n"/>
      <c r="K3" s="91" t="n"/>
      <c r="L3" s="91" t="n"/>
      <c r="M3" s="91" t="n"/>
      <c r="N3" s="91" t="n"/>
    </row>
    <row r="4" ht="12" customHeight="1">
      <c r="A4" s="91" t="n"/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</row>
    <row r="5" ht="18" customHeight="1">
      <c r="A5" s="97" t="n"/>
      <c r="B5" s="98" t="inlineStr">
        <is>
          <t>Projected FY27 Revenue</t>
        </is>
      </c>
      <c r="C5" s="114" t="n"/>
      <c r="D5" s="91" t="n"/>
      <c r="E5" s="100" t="inlineStr">
        <is>
          <t>EBITDA Margin %</t>
        </is>
      </c>
      <c r="F5" s="114" t="n"/>
      <c r="G5" s="101" t="n"/>
      <c r="H5" s="98" t="inlineStr">
        <is>
          <t>Implied Franchise Value</t>
        </is>
      </c>
      <c r="I5" s="114" t="n"/>
      <c r="J5" s="91" t="n"/>
      <c r="K5" s="98" t="inlineStr">
        <is>
          <t>Attendance Capacity %</t>
        </is>
      </c>
      <c r="L5" s="114" t="n"/>
      <c r="M5" s="91" t="n"/>
      <c r="N5" s="91" t="n"/>
    </row>
    <row r="6" ht="24" customHeight="1">
      <c r="A6" s="91" t="n"/>
      <c r="B6" s="166">
        <f>IFERROR(Master_Model!$J$52,0)</f>
        <v/>
      </c>
      <c r="C6" s="167" t="n"/>
      <c r="D6" s="91" t="n"/>
      <c r="E6" s="104">
        <f>IFERROR(Master_Model!$J$97,0)</f>
        <v/>
      </c>
      <c r="F6" s="167" t="n"/>
      <c r="G6" s="91" t="n"/>
      <c r="H6" s="166">
        <f>IFERROR(Master_Model!$J$102,0)</f>
        <v/>
      </c>
      <c r="I6" s="167" t="n"/>
      <c r="J6" s="91" t="n"/>
      <c r="K6" s="104">
        <f>IFERROR(Master_Model!$J$6/Assumptions!$H$26,0)</f>
        <v/>
      </c>
      <c r="L6" s="167" t="n"/>
      <c r="M6" s="91" t="n"/>
      <c r="N6" s="91" t="n"/>
    </row>
    <row r="7" ht="24" customHeight="1">
      <c r="A7" s="91" t="n"/>
      <c r="B7" s="168" t="n"/>
      <c r="C7" s="169" t="n"/>
      <c r="D7" s="91" t="n"/>
      <c r="E7" s="168" t="n"/>
      <c r="F7" s="169" t="n"/>
      <c r="G7" s="91" t="n"/>
      <c r="H7" s="168" t="n"/>
      <c r="I7" s="169" t="n"/>
      <c r="J7" s="91" t="n"/>
      <c r="K7" s="168" t="n"/>
      <c r="L7" s="169" t="n"/>
      <c r="M7" s="91" t="n"/>
      <c r="N7" s="91" t="n"/>
    </row>
    <row r="8" ht="24" customHeight="1">
      <c r="A8" s="91" t="n"/>
      <c r="B8" s="168" t="n"/>
      <c r="C8" s="169" t="n"/>
      <c r="D8" s="91" t="n"/>
      <c r="E8" s="168" t="n"/>
      <c r="F8" s="169" t="n"/>
      <c r="G8" s="91" t="n"/>
      <c r="H8" s="168" t="n"/>
      <c r="I8" s="169" t="n"/>
      <c r="J8" s="91" t="n"/>
      <c r="K8" s="168" t="n"/>
      <c r="L8" s="169" t="n"/>
      <c r="M8" s="91" t="n"/>
      <c r="N8" s="91" t="n"/>
    </row>
    <row r="9" ht="24" customHeight="1">
      <c r="A9" s="91" t="n"/>
      <c r="B9" s="170" t="n"/>
      <c r="C9" s="171" t="n"/>
      <c r="D9" s="91" t="n"/>
      <c r="E9" s="170" t="n"/>
      <c r="F9" s="171" t="n"/>
      <c r="G9" s="91" t="n"/>
      <c r="H9" s="170" t="n"/>
      <c r="I9" s="171" t="n"/>
      <c r="J9" s="91" t="n"/>
      <c r="K9" s="170" t="n"/>
      <c r="L9" s="171" t="n"/>
      <c r="M9" s="91" t="n"/>
      <c r="N9" s="91" t="n"/>
    </row>
    <row r="10" ht="45" customHeight="1">
      <c r="A10" s="91" t="n"/>
      <c r="B10" s="91" t="n"/>
      <c r="C10" s="91" t="n"/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</row>
    <row r="11" ht="18" customHeight="1">
      <c r="A11" s="91" t="n"/>
      <c r="B11" s="105" t="inlineStr">
        <is>
          <t>Open Scenario Levers</t>
        </is>
      </c>
      <c r="C11" s="167" t="n"/>
      <c r="D11" s="91" t="n"/>
      <c r="E11" s="105" t="inlineStr">
        <is>
          <t>Open Benchmarks</t>
        </is>
      </c>
      <c r="F11" s="167" t="n"/>
      <c r="G11" s="91" t="n"/>
      <c r="H11" s="105" t="inlineStr">
        <is>
          <t>Open Assumptions</t>
        </is>
      </c>
      <c r="I11" s="167" t="n"/>
      <c r="J11" s="91" t="n"/>
      <c r="K11" s="105" t="inlineStr">
        <is>
          <t>Open Source Log</t>
        </is>
      </c>
      <c r="L11" s="167" t="n"/>
      <c r="M11" s="91" t="n"/>
      <c r="N11" s="91" t="n"/>
    </row>
    <row r="12" ht="18" customHeight="1">
      <c r="A12" s="91" t="n"/>
      <c r="B12" s="170" t="n"/>
      <c r="C12" s="171" t="n"/>
      <c r="D12" s="91" t="n"/>
      <c r="E12" s="170" t="n"/>
      <c r="F12" s="171" t="n"/>
      <c r="G12" s="91" t="n"/>
      <c r="H12" s="170" t="n"/>
      <c r="I12" s="171" t="n"/>
      <c r="J12" s="91" t="n"/>
      <c r="K12" s="170" t="n"/>
      <c r="L12" s="171" t="n"/>
      <c r="M12" s="91" t="n"/>
      <c r="N12" s="91" t="n"/>
    </row>
    <row r="13">
      <c r="A13" s="91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</row>
    <row r="14">
      <c r="A14" s="91" t="n"/>
      <c r="B14" s="107" t="inlineStr">
        <is>
          <t>Executive readout
• Attendance recovered from 6,992 (FY22) to 7,403 (FY26).
• Private economics remain labeled as modeled estimates.
• Changing the scenario switch updates FY27 revenue, EBITDA, valuation, and charts instantly.
• Tactical upside comes from demand generation, ticket yield, sponsorship packaging, and digital conversion.</t>
        </is>
      </c>
      <c r="G14" s="91" t="n"/>
      <c r="H14" s="107" t="inlineStr">
        <is>
          <t>What makes this decision-ready
• Inputs and formulas are separated.
• Scenario controls are validated and protected.
• Master_Model is hidden for executive use but available for audit.
• One-pager includes operational impact and competitor benchmarking.
• Key assumption cells carry URL comments for auditability.</t>
        </is>
      </c>
      <c r="M14" s="91" t="n"/>
      <c r="N14" s="91" t="n"/>
    </row>
    <row r="15">
      <c r="A15" s="91" t="n"/>
      <c r="G15" s="91" t="n"/>
      <c r="M15" s="91" t="n"/>
      <c r="N15" s="91" t="n"/>
    </row>
    <row r="16">
      <c r="A16" s="91" t="n"/>
      <c r="G16" s="91" t="n"/>
      <c r="M16" s="91" t="n"/>
      <c r="N16" s="91" t="n"/>
    </row>
    <row r="17">
      <c r="A17" s="91" t="n"/>
      <c r="G17" s="91" t="n"/>
      <c r="M17" s="91" t="n"/>
      <c r="N17" s="91" t="n"/>
    </row>
    <row r="18">
      <c r="A18" s="91" t="n"/>
      <c r="G18" s="91" t="n"/>
      <c r="M18" s="91" t="n"/>
      <c r="N18" s="91" t="n"/>
    </row>
    <row r="19">
      <c r="A19" s="91" t="n"/>
      <c r="G19" s="91" t="n"/>
      <c r="M19" s="91" t="n"/>
      <c r="N19" s="91" t="n"/>
    </row>
    <row r="20">
      <c r="A20" s="91" t="n"/>
      <c r="G20" s="91" t="n"/>
      <c r="M20" s="91" t="n"/>
      <c r="N20" s="91" t="n"/>
    </row>
    <row r="21">
      <c r="A21" s="91" t="n"/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</row>
    <row r="22">
      <c r="A22" s="91" t="n"/>
      <c r="B22" s="91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</row>
    <row r="23">
      <c r="A23" s="91" t="inlineStr">
        <is>
          <t>Metric</t>
        </is>
      </c>
      <c r="B23" s="91" t="inlineStr">
        <is>
          <t>2021-22</t>
        </is>
      </c>
      <c r="C23" s="91" t="inlineStr">
        <is>
          <t>2022-23</t>
        </is>
      </c>
      <c r="D23" s="91" t="inlineStr">
        <is>
          <t>2023-24</t>
        </is>
      </c>
      <c r="E23" s="91" t="inlineStr">
        <is>
          <t>2024-25</t>
        </is>
      </c>
      <c r="F23" s="91" t="inlineStr">
        <is>
          <t>2025-26</t>
        </is>
      </c>
      <c r="G23" s="91" t="inlineStr">
        <is>
          <t>2026-27</t>
        </is>
      </c>
      <c r="H23" s="91" t="n"/>
      <c r="I23" s="91" t="n"/>
      <c r="J23" s="91" t="n"/>
      <c r="K23" s="91" t="n"/>
      <c r="L23" s="91" t="n"/>
      <c r="M23" s="91" t="n"/>
      <c r="N23" s="91" t="n"/>
    </row>
    <row r="24">
      <c r="A24" s="91" t="inlineStr">
        <is>
          <t>Attendance</t>
        </is>
      </c>
      <c r="B24" s="108">
        <f>IFERROR(Master_Model!E6,0)</f>
        <v/>
      </c>
      <c r="C24" s="108">
        <f>IFERROR(Master_Model!F6,0)</f>
        <v/>
      </c>
      <c r="D24" s="108">
        <f>IFERROR(Master_Model!G6,0)</f>
        <v/>
      </c>
      <c r="E24" s="108">
        <f>IFERROR(Master_Model!H6,0)</f>
        <v/>
      </c>
      <c r="F24" s="108">
        <f>IFERROR(Master_Model!I6,0)</f>
        <v/>
      </c>
      <c r="G24" s="108">
        <f>IFERROR(Master_Model!J6,0)</f>
        <v/>
      </c>
      <c r="H24" s="91" t="n"/>
      <c r="I24" s="91" t="n"/>
      <c r="J24" s="91" t="n"/>
      <c r="K24" s="91" t="n"/>
      <c r="L24" s="91" t="n"/>
      <c r="M24" s="91" t="n"/>
      <c r="N24" s="91" t="n"/>
    </row>
    <row r="25">
      <c r="A25" s="91" t="inlineStr">
        <is>
          <t>Revenue</t>
        </is>
      </c>
      <c r="B25" s="172">
        <f>IFERROR(Master_Model!E52,0)</f>
        <v/>
      </c>
      <c r="C25" s="172">
        <f>IFERROR(Master_Model!F52,0)</f>
        <v/>
      </c>
      <c r="D25" s="172">
        <f>IFERROR(Master_Model!G52,0)</f>
        <v/>
      </c>
      <c r="E25" s="172">
        <f>IFERROR(Master_Model!H52,0)</f>
        <v/>
      </c>
      <c r="F25" s="172">
        <f>IFERROR(Master_Model!I52,0)</f>
        <v/>
      </c>
      <c r="G25" s="172">
        <f>IFERROR(Master_Model!J52,0)</f>
        <v/>
      </c>
      <c r="H25" s="91" t="n"/>
      <c r="I25" s="91" t="n"/>
      <c r="J25" s="91" t="n"/>
      <c r="K25" s="91" t="n"/>
      <c r="L25" s="91" t="n"/>
      <c r="M25" s="91" t="n"/>
      <c r="N25" s="91" t="n"/>
    </row>
    <row r="26">
      <c r="A26" s="91" t="inlineStr">
        <is>
          <t>EBITDA</t>
        </is>
      </c>
      <c r="B26" s="172">
        <f>IFERROR(Master_Model!E98,0)</f>
        <v/>
      </c>
      <c r="C26" s="172">
        <f>IFERROR(Master_Model!F98,0)</f>
        <v/>
      </c>
      <c r="D26" s="172">
        <f>IFERROR(Master_Model!G98,0)</f>
        <v/>
      </c>
      <c r="E26" s="172">
        <f>IFERROR(Master_Model!H98,0)</f>
        <v/>
      </c>
      <c r="F26" s="172">
        <f>IFERROR(Master_Model!I98,0)</f>
        <v/>
      </c>
      <c r="G26" s="172">
        <f>IFERROR(Master_Model!J98,0)</f>
        <v/>
      </c>
      <c r="H26" s="91" t="n"/>
      <c r="I26" s="91" t="n"/>
      <c r="J26" s="91" t="n"/>
      <c r="K26" s="91" t="n"/>
      <c r="L26" s="91" t="n"/>
      <c r="M26" s="91" t="n"/>
      <c r="N26" s="91" t="n"/>
    </row>
    <row r="27">
      <c r="A27" s="91" t="inlineStr">
        <is>
          <t>Valuation</t>
        </is>
      </c>
      <c r="B27" s="172">
        <f>IFERROR(Master_Model!E102,0)</f>
        <v/>
      </c>
      <c r="C27" s="172">
        <f>IFERROR(Master_Model!F102,0)</f>
        <v/>
      </c>
      <c r="D27" s="172">
        <f>IFERROR(Master_Model!G102,0)</f>
        <v/>
      </c>
      <c r="E27" s="172">
        <f>IFERROR(Master_Model!H102,0)</f>
        <v/>
      </c>
      <c r="F27" s="172">
        <f>IFERROR(Master_Model!I102,0)</f>
        <v/>
      </c>
      <c r="G27" s="172">
        <f>IFERROR(Master_Model!J102,0)</f>
        <v/>
      </c>
      <c r="H27" s="91" t="n"/>
      <c r="I27" s="91" t="n"/>
      <c r="J27" s="91" t="n"/>
      <c r="K27" s="91" t="n"/>
      <c r="L27" s="91" t="n"/>
      <c r="M27" s="91" t="n"/>
      <c r="N27" s="91" t="n"/>
    </row>
    <row r="28">
      <c r="A28" s="91" t="n"/>
      <c r="B28" s="91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</row>
    <row r="29">
      <c r="A29" s="91" t="n"/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</row>
    <row r="30">
      <c r="A30" s="91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</row>
    <row r="31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</row>
    <row r="32">
      <c r="A32" s="91" t="n"/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</row>
    <row r="33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</row>
    <row r="34">
      <c r="A34" s="91" t="n"/>
      <c r="B34" s="91" t="n"/>
      <c r="C34" s="91" t="n"/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</row>
    <row r="35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</row>
    <row r="36">
      <c r="A36" s="91" t="n"/>
      <c r="B36" s="91" t="n"/>
      <c r="C36" s="91" t="n"/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</row>
    <row r="37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</row>
    <row r="38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</row>
    <row r="39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</row>
    <row r="40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</row>
    <row r="41">
      <c r="A41" s="110" t="n"/>
      <c r="B41" s="110" t="n"/>
      <c r="C41" s="110" t="n"/>
      <c r="D41" s="110" t="n"/>
      <c r="E41" s="110" t="n"/>
      <c r="F41" s="110" t="n"/>
      <c r="G41" s="110" t="n"/>
      <c r="H41" s="110" t="n"/>
      <c r="I41" s="110" t="n"/>
      <c r="J41" s="110" t="n"/>
      <c r="K41" s="110" t="n"/>
      <c r="L41" s="110" t="n"/>
      <c r="M41" s="110" t="n"/>
      <c r="N41" s="110" t="n"/>
    </row>
    <row r="42">
      <c r="A42" s="110" t="n"/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0" t="n"/>
      <c r="N42" s="110" t="n"/>
    </row>
    <row r="43">
      <c r="A43" s="110" t="n"/>
      <c r="B43" s="110" t="n"/>
      <c r="C43" s="110" t="n"/>
      <c r="D43" s="110" t="n"/>
      <c r="E43" s="110" t="n"/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</row>
    <row r="44">
      <c r="A44" s="110" t="n"/>
      <c r="B44" s="110" t="n"/>
      <c r="C44" s="110" t="n"/>
      <c r="D44" s="110" t="n"/>
      <c r="E44" s="110" t="n"/>
      <c r="F44" s="110" t="n"/>
      <c r="G44" s="110" t="n"/>
      <c r="H44" s="110" t="n"/>
      <c r="I44" s="110" t="n"/>
      <c r="J44" s="110" t="n"/>
      <c r="K44" s="110" t="n"/>
      <c r="L44" s="110" t="n"/>
      <c r="M44" s="110" t="n"/>
      <c r="N44" s="110" t="n"/>
    </row>
    <row r="45">
      <c r="A45" s="110" t="n"/>
      <c r="B45" s="110" t="n"/>
      <c r="C45" s="110" t="n"/>
      <c r="D45" s="110" t="n"/>
      <c r="E45" s="110" t="n"/>
      <c r="F45" s="110" t="n"/>
      <c r="G45" s="110" t="n"/>
      <c r="H45" s="110" t="n"/>
      <c r="I45" s="110" t="n"/>
      <c r="J45" s="110" t="n"/>
      <c r="K45" s="110" t="n"/>
      <c r="L45" s="110" t="n"/>
      <c r="M45" s="110" t="n"/>
      <c r="N45" s="1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94"/>
  <mergeCells count="16">
    <mergeCell ref="B6:C9"/>
    <mergeCell ref="B5:C5"/>
    <mergeCell ref="E6:F9"/>
    <mergeCell ref="B2:I2"/>
    <mergeCell ref="B11:C12"/>
    <mergeCell ref="H6:I9"/>
    <mergeCell ref="H14:L20"/>
    <mergeCell ref="K6:L9"/>
    <mergeCell ref="E5:F5"/>
    <mergeCell ref="K5:L5"/>
    <mergeCell ref="E11:F12"/>
    <mergeCell ref="H5:I5"/>
    <mergeCell ref="H11:I12"/>
    <mergeCell ref="K11:L12"/>
    <mergeCell ref="B14:F20"/>
    <mergeCell ref="B1:L1"/>
  </mergeCells>
  <dataValidations count="1">
    <dataValidation sqref="C3" showDropDown="0" showInputMessage="0" showErrorMessage="0" allowBlank="0" type="list">
      <formula1>"Baseline,Tactical Upside,Aggressive Growth"</formula1>
    </dataValidation>
  </dataValidations>
  <hyperlinks>
    <hyperlink xmlns:r="http://schemas.openxmlformats.org/officeDocument/2006/relationships" ref="B11" r:id="rId1"/>
    <hyperlink xmlns:r="http://schemas.openxmlformats.org/officeDocument/2006/relationships" ref="E11" r:id="rId2"/>
    <hyperlink xmlns:r="http://schemas.openxmlformats.org/officeDocument/2006/relationships" ref="H11" r:id="rId3"/>
    <hyperlink xmlns:r="http://schemas.openxmlformats.org/officeDocument/2006/relationships" ref="K11" r:id="rId4"/>
  </hyperlinks>
  <pageMargins left="0.7" right="0.7" top="0.75" bottom="0.75" header="0.3" footer="0.3"/>
  <drawing xmlns:r="http://schemas.openxmlformats.org/officeDocument/2006/relationships" r:id="rId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16" customWidth="1" min="8" max="8"/>
    <col width="18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11" t="inlineStr">
        <is>
          <t>San Diego Gulls — Assumptions, Controls &amp; Public Inputs</t>
        </is>
      </c>
    </row>
    <row r="2">
      <c r="A2" s="93" t="inlineStr">
        <is>
          <t>Executive control lives on the dashboard. Yellow cells are editable scenario rates. The 2026-27 column is formula-driven and scenario-sensitive.</t>
        </is>
      </c>
    </row>
    <row r="3">
      <c r="A3" s="91" t="n"/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</row>
    <row r="4">
      <c r="A4" s="112" t="inlineStr">
        <is>
          <t>Scenario Control</t>
        </is>
      </c>
      <c r="B4" s="113" t="n"/>
      <c r="C4" s="113" t="n"/>
      <c r="D4" s="114" t="n"/>
      <c r="E4" s="91" t="n"/>
      <c r="F4" s="112" t="inlineStr">
        <is>
          <t>Scenario Rate Matrix</t>
        </is>
      </c>
      <c r="G4" s="113" t="n"/>
      <c r="H4" s="113" t="n"/>
      <c r="I4" s="113" t="n"/>
      <c r="J4" s="113" t="n"/>
      <c r="K4" s="113" t="n"/>
      <c r="L4" s="113" t="n"/>
      <c r="M4" s="113" t="n"/>
      <c r="N4" s="114" t="n"/>
    </row>
    <row r="5">
      <c r="A5" s="115" t="inlineStr">
        <is>
          <t>Scenario Selector (mirrors dashboard)</t>
        </is>
      </c>
      <c r="B5" s="116">
        <f>Executive_Dashboard!$C$3</f>
        <v/>
      </c>
      <c r="C5" s="117" t="n"/>
      <c r="D5" s="117" t="n"/>
      <c r="E5" s="117" t="n"/>
      <c r="F5" s="118" t="inlineStr">
        <is>
          <t>Driver</t>
        </is>
      </c>
      <c r="G5" s="118" t="inlineStr">
        <is>
          <t>Baseline</t>
        </is>
      </c>
      <c r="H5" s="118" t="inlineStr">
        <is>
          <t>Tactical Upside</t>
        </is>
      </c>
      <c r="I5" s="119" t="inlineStr">
        <is>
          <t>Aggressive Growth</t>
        </is>
      </c>
      <c r="J5" s="119" t="inlineStr">
        <is>
          <t>Strategic Use</t>
        </is>
      </c>
      <c r="K5" s="91" t="n"/>
      <c r="L5" s="91" t="n"/>
      <c r="M5" s="91" t="n"/>
      <c r="N5" s="91" t="n"/>
    </row>
    <row r="6">
      <c r="A6" s="120" t="inlineStr">
        <is>
          <t>Attendance growth</t>
        </is>
      </c>
      <c r="B6" s="121">
        <f>IF(Scenario_Selector="Baseline",$G6,IF(Scenario_Selector="Tactical Upside",$H6,$I6))</f>
        <v/>
      </c>
      <c r="C6" s="117" t="n"/>
      <c r="D6" s="117" t="n"/>
      <c r="E6" s="117" t="n"/>
      <c r="F6" s="122" t="inlineStr">
        <is>
          <t>Attendance growth</t>
        </is>
      </c>
      <c r="G6" s="123" t="n">
        <v>0.03</v>
      </c>
      <c r="H6" s="123" t="n">
        <v>0.06</v>
      </c>
      <c r="I6" s="123" t="n">
        <v>0.09</v>
      </c>
      <c r="J6" s="124" t="inlineStr">
        <is>
          <t>Demand generation</t>
        </is>
      </c>
      <c r="K6" s="91" t="n"/>
      <c r="L6" s="91" t="n"/>
      <c r="M6" s="91" t="n"/>
      <c r="N6" s="91" t="n"/>
    </row>
    <row r="7">
      <c r="A7" s="125" t="inlineStr">
        <is>
          <t>WATP growth</t>
        </is>
      </c>
      <c r="B7" s="121">
        <f>IF(Scenario_Selector="Baseline",$G7,IF(Scenario_Selector="Tactical Upside",$H7,$I7))</f>
        <v/>
      </c>
      <c r="C7" s="117" t="n"/>
      <c r="D7" s="117" t="n"/>
      <c r="E7" s="117" t="n"/>
      <c r="F7" s="122" t="inlineStr">
        <is>
          <t>WATP growth</t>
        </is>
      </c>
      <c r="G7" s="123" t="n">
        <v>0.032</v>
      </c>
      <c r="H7" s="123" t="n">
        <v>0.05</v>
      </c>
      <c r="I7" s="123" t="n">
        <v>0.075</v>
      </c>
      <c r="J7" s="124" t="inlineStr">
        <is>
          <t>Ticket yield</t>
        </is>
      </c>
      <c r="K7" s="91" t="n"/>
      <c r="L7" s="91" t="n"/>
      <c r="M7" s="91" t="n"/>
      <c r="N7" s="91" t="n"/>
    </row>
    <row r="8">
      <c r="A8" s="125" t="inlineStr">
        <is>
          <t>Sponsorship growth</t>
        </is>
      </c>
      <c r="B8" s="121">
        <f>IF(Scenario_Selector="Baseline",$G8,IF(Scenario_Selector="Tactical Upside",$H8,$I8))</f>
        <v/>
      </c>
      <c r="C8" s="117" t="n"/>
      <c r="D8" s="117" t="n"/>
      <c r="E8" s="117" t="n"/>
      <c r="F8" s="122" t="inlineStr">
        <is>
          <t>Sponsorship growth</t>
        </is>
      </c>
      <c r="G8" s="123" t="n">
        <v>0.093</v>
      </c>
      <c r="H8" s="123" t="n">
        <v>0.12</v>
      </c>
      <c r="I8" s="123" t="n">
        <v>0.16</v>
      </c>
      <c r="J8" s="124" t="inlineStr">
        <is>
          <t>Sellable inventory</t>
        </is>
      </c>
      <c r="K8" s="91" t="n"/>
      <c r="L8" s="91" t="n"/>
      <c r="M8" s="91" t="n"/>
      <c r="N8" s="91" t="n"/>
    </row>
    <row r="9">
      <c r="A9" s="125" t="inlineStr">
        <is>
          <t>F&amp;B per-cap growth</t>
        </is>
      </c>
      <c r="B9" s="121">
        <f>IF(Scenario_Selector="Baseline",$G9,IF(Scenario_Selector="Tactical Upside",$H9,$I9))</f>
        <v/>
      </c>
      <c r="C9" s="117" t="n"/>
      <c r="D9" s="117" t="n"/>
      <c r="E9" s="117" t="n"/>
      <c r="F9" s="122" t="inlineStr">
        <is>
          <t>F&amp;B per-cap growth</t>
        </is>
      </c>
      <c r="G9" s="123" t="n">
        <v>0.032</v>
      </c>
      <c r="H9" s="123" t="n">
        <v>0.05</v>
      </c>
      <c r="I9" s="123" t="n">
        <v>0.07000000000000001</v>
      </c>
      <c r="J9" s="124" t="inlineStr">
        <is>
          <t>Hospitality uplift</t>
        </is>
      </c>
      <c r="K9" s="91" t="n"/>
      <c r="L9" s="91" t="n"/>
      <c r="M9" s="91" t="n"/>
      <c r="N9" s="91" t="n"/>
    </row>
    <row r="10">
      <c r="A10" s="125" t="inlineStr">
        <is>
          <t>Merch per-cap growth</t>
        </is>
      </c>
      <c r="B10" s="121">
        <f>IF(Scenario_Selector="Baseline",$G10,IF(Scenario_Selector="Tactical Upside",$H10,$I10))</f>
        <v/>
      </c>
      <c r="C10" s="117" t="n"/>
      <c r="D10" s="117" t="n"/>
      <c r="E10" s="117" t="n"/>
      <c r="F10" s="122" t="inlineStr">
        <is>
          <t>Merch per-cap growth</t>
        </is>
      </c>
      <c r="G10" s="123" t="n">
        <v>0.044</v>
      </c>
      <c r="H10" s="123" t="n">
        <v>0.06</v>
      </c>
      <c r="I10" s="123" t="n">
        <v>0.08</v>
      </c>
      <c r="J10" s="124" t="inlineStr">
        <is>
          <t>Brand conversion</t>
        </is>
      </c>
      <c r="K10" s="91" t="n"/>
      <c r="L10" s="91" t="n"/>
      <c r="M10" s="91" t="n"/>
      <c r="N10" s="91" t="n"/>
    </row>
    <row r="11">
      <c r="A11" s="125" t="inlineStr">
        <is>
          <t>STM entry growth</t>
        </is>
      </c>
      <c r="B11" s="121">
        <f>IF(Scenario_Selector="Baseline",$G11,IF(Scenario_Selector="Tactical Upside",$H11,$I11))</f>
        <v/>
      </c>
      <c r="C11" s="117" t="n"/>
      <c r="D11" s="117" t="n"/>
      <c r="E11" s="117" t="n"/>
      <c r="F11" s="122" t="inlineStr">
        <is>
          <t>STM entry growth</t>
        </is>
      </c>
      <c r="G11" s="123" t="n">
        <v>0.03</v>
      </c>
      <c r="H11" s="123" t="n">
        <v>0.045</v>
      </c>
      <c r="I11" s="123" t="n">
        <v>0.06</v>
      </c>
      <c r="J11" s="124" t="inlineStr">
        <is>
          <t>Renewal ladder</t>
        </is>
      </c>
      <c r="K11" s="91" t="n"/>
      <c r="L11" s="91" t="n"/>
      <c r="M11" s="91" t="n"/>
      <c r="N11" s="91" t="n"/>
    </row>
    <row r="12">
      <c r="A12" s="125" t="inlineStr">
        <is>
          <t>Single-game growth</t>
        </is>
      </c>
      <c r="B12" s="121">
        <f>IF(Scenario_Selector="Baseline",$G12,IF(Scenario_Selector="Tactical Upside",$H12,$I12))</f>
        <v/>
      </c>
      <c r="C12" s="117" t="n"/>
      <c r="D12" s="117" t="n"/>
      <c r="E12" s="117" t="n"/>
      <c r="F12" s="122" t="inlineStr">
        <is>
          <t>Single-game growth</t>
        </is>
      </c>
      <c r="G12" s="123" t="n">
        <v>0.043</v>
      </c>
      <c r="H12" s="123" t="n">
        <v>0.06</v>
      </c>
      <c r="I12" s="123" t="n">
        <v>0.08500000000000001</v>
      </c>
      <c r="J12" s="124" t="inlineStr">
        <is>
          <t>Dynamic pricing</t>
        </is>
      </c>
      <c r="K12" s="91" t="n"/>
      <c r="L12" s="91" t="n"/>
      <c r="M12" s="91" t="n"/>
      <c r="N12" s="91" t="n"/>
    </row>
    <row r="13">
      <c r="A13" s="125" t="inlineStr">
        <is>
          <t>Website traffic growth</t>
        </is>
      </c>
      <c r="B13" s="121">
        <f>IF(Scenario_Selector="Baseline",$G13,IF(Scenario_Selector="Tactical Upside",$H13,$I13))</f>
        <v/>
      </c>
      <c r="C13" s="97" t="n"/>
      <c r="D13" s="97" t="n"/>
      <c r="E13" s="97" t="n"/>
      <c r="F13" s="126" t="inlineStr">
        <is>
          <t>Website traffic growth</t>
        </is>
      </c>
      <c r="G13" s="123" t="n">
        <v>0.08</v>
      </c>
      <c r="H13" s="123" t="n">
        <v>0.12</v>
      </c>
      <c r="I13" s="123" t="n">
        <v>0.16</v>
      </c>
      <c r="J13" s="124" t="inlineStr">
        <is>
          <t>Digital funnel</t>
        </is>
      </c>
      <c r="K13" s="91" t="n"/>
      <c r="L13" s="91" t="n"/>
      <c r="M13" s="91" t="n"/>
      <c r="N13" s="91" t="n"/>
    </row>
    <row r="14">
      <c r="A14" s="110" t="n"/>
      <c r="B14" s="110" t="n"/>
      <c r="C14" s="127" t="n"/>
      <c r="D14" s="127" t="n"/>
      <c r="E14" s="127" t="n"/>
      <c r="F14" s="127" t="n"/>
      <c r="G14" s="127" t="n"/>
      <c r="H14" s="127" t="n"/>
      <c r="I14" s="110" t="n"/>
      <c r="J14" s="110" t="n"/>
      <c r="K14" s="110" t="n"/>
      <c r="L14" s="110" t="n"/>
      <c r="M14" s="110" t="n"/>
      <c r="N14" s="110" t="n"/>
    </row>
    <row r="15">
      <c r="A15" s="128" t="inlineStr">
        <is>
          <t>Category</t>
        </is>
      </c>
      <c r="B15" s="128" t="inlineStr">
        <is>
          <t>Driver</t>
        </is>
      </c>
      <c r="C15" s="129" t="inlineStr">
        <is>
          <t>2021-22</t>
        </is>
      </c>
      <c r="D15" s="129" t="inlineStr">
        <is>
          <t>2022-23</t>
        </is>
      </c>
      <c r="E15" s="129" t="inlineStr">
        <is>
          <t>2023-24</t>
        </is>
      </c>
      <c r="F15" s="129" t="inlineStr">
        <is>
          <t>2024-25</t>
        </is>
      </c>
      <c r="G15" s="129" t="inlineStr">
        <is>
          <t>2025-26</t>
        </is>
      </c>
      <c r="H15" s="129" t="inlineStr">
        <is>
          <t>2026-27</t>
        </is>
      </c>
      <c r="I15" s="110" t="n"/>
      <c r="J15" s="110" t="n"/>
      <c r="K15" s="110" t="n"/>
      <c r="L15" s="110" t="n"/>
      <c r="M15" s="110" t="n"/>
      <c r="N15" s="110" t="n"/>
    </row>
    <row r="16" hidden="1">
      <c r="A16" s="130" t="inlineStr">
        <is>
          <t>CONTROL</t>
        </is>
      </c>
      <c r="B16" s="131" t="inlineStr">
        <is>
          <t>2026-27 attendance growth assumption</t>
        </is>
      </c>
      <c r="C16" s="135" t="n"/>
      <c r="D16" s="135" t="n"/>
      <c r="E16" s="135" t="n"/>
      <c r="F16" s="135" t="n"/>
      <c r="G16" s="135" t="n"/>
      <c r="H16" s="137" t="n">
        <v>0.03</v>
      </c>
      <c r="I16" s="110" t="n"/>
      <c r="J16" s="110" t="n"/>
      <c r="K16" s="110" t="n"/>
      <c r="L16" s="110" t="n"/>
      <c r="M16" s="110" t="n"/>
      <c r="N16" s="110" t="n"/>
    </row>
    <row r="17" hidden="1">
      <c r="A17" s="130" t="inlineStr">
        <is>
          <t>CONTROL</t>
        </is>
      </c>
      <c r="B17" s="131" t="inlineStr">
        <is>
          <t>2026-27 WATP growth assumption</t>
        </is>
      </c>
      <c r="C17" s="135" t="n"/>
      <c r="D17" s="135" t="n"/>
      <c r="E17" s="135" t="n"/>
      <c r="F17" s="135" t="n"/>
      <c r="G17" s="135" t="n"/>
      <c r="H17" s="137" t="n">
        <v>0.032</v>
      </c>
      <c r="I17" s="110" t="n"/>
      <c r="J17" s="110" t="n"/>
      <c r="K17" s="110" t="n"/>
      <c r="L17" s="110" t="n"/>
      <c r="M17" s="110" t="n"/>
      <c r="N17" s="110" t="n"/>
    </row>
    <row r="18" hidden="1">
      <c r="A18" s="130" t="inlineStr">
        <is>
          <t>CONTROL</t>
        </is>
      </c>
      <c r="B18" s="131" t="inlineStr">
        <is>
          <t>2026-27 sponsorship growth assumption</t>
        </is>
      </c>
      <c r="C18" s="135" t="n"/>
      <c r="D18" s="135" t="n"/>
      <c r="E18" s="135" t="n"/>
      <c r="F18" s="135" t="n"/>
      <c r="G18" s="135" t="n"/>
      <c r="H18" s="137" t="n">
        <v>0.093</v>
      </c>
      <c r="I18" s="110" t="n"/>
      <c r="J18" s="110" t="n"/>
      <c r="K18" s="110" t="n"/>
      <c r="L18" s="110" t="n"/>
      <c r="M18" s="110" t="n"/>
      <c r="N18" s="110" t="n"/>
    </row>
    <row r="19" hidden="1">
      <c r="A19" s="130" t="inlineStr">
        <is>
          <t>CONTROL</t>
        </is>
      </c>
      <c r="B19" s="131" t="inlineStr">
        <is>
          <t>2026-27 per-cap F&amp;B growth assumption</t>
        </is>
      </c>
      <c r="C19" s="135" t="n"/>
      <c r="D19" s="135" t="n"/>
      <c r="E19" s="135" t="n"/>
      <c r="F19" s="135" t="n"/>
      <c r="G19" s="135" t="n"/>
      <c r="H19" s="137" t="n">
        <v>0.032</v>
      </c>
      <c r="I19" s="110" t="n"/>
      <c r="J19" s="110" t="n"/>
      <c r="K19" s="110" t="n"/>
      <c r="L19" s="110" t="n"/>
      <c r="M19" s="110" t="n"/>
      <c r="N19" s="110" t="n"/>
    </row>
    <row r="20" hidden="1">
      <c r="A20" s="130" t="inlineStr">
        <is>
          <t>CONTROL</t>
        </is>
      </c>
      <c r="B20" s="131" t="inlineStr">
        <is>
          <t>2026-27 merch per-cap growth assumption</t>
        </is>
      </c>
      <c r="C20" s="135" t="n"/>
      <c r="D20" s="135" t="n"/>
      <c r="E20" s="135" t="n"/>
      <c r="F20" s="135" t="n"/>
      <c r="G20" s="135" t="n"/>
      <c r="H20" s="137" t="n">
        <v>0.044</v>
      </c>
      <c r="I20" s="110" t="n"/>
      <c r="J20" s="110" t="n"/>
      <c r="K20" s="110" t="n"/>
      <c r="L20" s="110" t="n"/>
      <c r="M20" s="110" t="n"/>
      <c r="N20" s="110" t="n"/>
    </row>
    <row r="21" hidden="1">
      <c r="A21" s="130" t="inlineStr">
        <is>
          <t>CONTROL</t>
        </is>
      </c>
      <c r="B21" s="131" t="inlineStr">
        <is>
          <t>2026-27 STM price growth assumption</t>
        </is>
      </c>
      <c r="C21" s="175" t="n"/>
      <c r="D21" s="175" t="n"/>
      <c r="E21" s="175" t="n"/>
      <c r="F21" s="175" t="n"/>
      <c r="G21" s="175" t="n"/>
      <c r="H21" s="174" t="n">
        <v>0.03</v>
      </c>
      <c r="I21" s="110" t="n"/>
      <c r="J21" s="110" t="n"/>
      <c r="K21" s="110" t="n"/>
      <c r="L21" s="110" t="n"/>
      <c r="M21" s="110" t="n"/>
      <c r="N21" s="110" t="n"/>
    </row>
    <row r="22" hidden="1">
      <c r="A22" s="130" t="inlineStr">
        <is>
          <t>CONTROL</t>
        </is>
      </c>
      <c r="B22" s="131" t="inlineStr">
        <is>
          <t>2026-27 single-game price growth assumption</t>
        </is>
      </c>
      <c r="C22" s="175" t="n"/>
      <c r="D22" s="175" t="n"/>
      <c r="E22" s="175" t="n"/>
      <c r="F22" s="175" t="n"/>
      <c r="G22" s="175" t="n"/>
      <c r="H22" s="174" t="n">
        <v>0.043</v>
      </c>
      <c r="I22" s="110" t="n"/>
      <c r="J22" s="110" t="n"/>
      <c r="K22" s="110" t="n"/>
      <c r="L22" s="110" t="n"/>
      <c r="M22" s="110" t="n"/>
      <c r="N22" s="110" t="n"/>
    </row>
    <row r="23" hidden="1">
      <c r="A23" s="130" t="inlineStr">
        <is>
          <t>CONTROL</t>
        </is>
      </c>
      <c r="B23" s="131" t="inlineStr">
        <is>
          <t>2026-27 website traffic growth assumption</t>
        </is>
      </c>
      <c r="C23" s="135" t="n"/>
      <c r="D23" s="135" t="n"/>
      <c r="E23" s="135" t="n"/>
      <c r="F23" s="135" t="n"/>
      <c r="G23" s="135" t="n"/>
      <c r="H23" s="137" t="n">
        <v>0.08</v>
      </c>
      <c r="I23" s="110" t="n"/>
      <c r="J23" s="110" t="n"/>
      <c r="K23" s="110" t="n"/>
      <c r="L23" s="110" t="n"/>
      <c r="M23" s="110" t="n"/>
      <c r="N23" s="110" t="n"/>
    </row>
    <row r="24">
      <c r="A24" s="130" t="inlineStr">
        <is>
          <t>ATTENDANCE</t>
        </is>
      </c>
      <c r="B24" s="131" t="inlineStr">
        <is>
          <t>Average attendance</t>
        </is>
      </c>
      <c r="C24" s="135" t="n">
        <v>6992</v>
      </c>
      <c r="D24" s="135" t="n">
        <v>6953</v>
      </c>
      <c r="E24" s="135" t="n">
        <v>7249</v>
      </c>
      <c r="F24" s="135" t="n">
        <v>7262</v>
      </c>
      <c r="G24" s="135" t="n">
        <v>7403</v>
      </c>
      <c r="H24" s="180">
        <f>ROUND(G24*(1+Attendance_Growth_Rate),0)</f>
        <v/>
      </c>
      <c r="I24" s="110" t="n"/>
      <c r="J24" s="110" t="n"/>
      <c r="K24" s="110" t="n"/>
      <c r="L24" s="110" t="n"/>
      <c r="M24" s="110" t="n"/>
      <c r="N24" s="110" t="n"/>
    </row>
    <row r="25">
      <c r="A25" s="130" t="inlineStr">
        <is>
          <t>ATTENDANCE</t>
        </is>
      </c>
      <c r="B25" s="131" t="inlineStr">
        <is>
          <t>Home games</t>
        </is>
      </c>
      <c r="C25" s="135" t="n">
        <v>34</v>
      </c>
      <c r="D25" s="135" t="n">
        <v>36</v>
      </c>
      <c r="E25" s="135" t="n">
        <v>36</v>
      </c>
      <c r="F25" s="135" t="n">
        <v>36</v>
      </c>
      <c r="G25" s="135" t="n">
        <v>36</v>
      </c>
      <c r="H25" s="137" t="n">
        <v>36</v>
      </c>
      <c r="I25" s="110" t="n"/>
      <c r="J25" s="110" t="n"/>
      <c r="K25" s="110" t="n"/>
      <c r="L25" s="110" t="n"/>
      <c r="M25" s="110" t="n"/>
      <c r="N25" s="110" t="n"/>
    </row>
    <row r="26">
      <c r="A26" s="130" t="inlineStr">
        <is>
          <t>VENUE</t>
        </is>
      </c>
      <c r="B26" s="131" t="inlineStr">
        <is>
          <t>Hockey seating capacity</t>
        </is>
      </c>
      <c r="C26" s="135" t="n">
        <v>12920</v>
      </c>
      <c r="D26" s="135" t="n">
        <v>12920</v>
      </c>
      <c r="E26" s="135" t="n">
        <v>12920</v>
      </c>
      <c r="F26" s="135" t="n">
        <v>12920</v>
      </c>
      <c r="G26" s="135" t="n">
        <v>12920</v>
      </c>
      <c r="H26" s="137" t="n">
        <v>12920</v>
      </c>
      <c r="I26" s="110" t="n"/>
      <c r="J26" s="110" t="n"/>
      <c r="K26" s="110" t="n"/>
      <c r="L26" s="110" t="n"/>
      <c r="M26" s="110" t="n"/>
      <c r="N26" s="110" t="n"/>
    </row>
    <row r="27">
      <c r="A27" s="130" t="inlineStr">
        <is>
          <t>VENUE</t>
        </is>
      </c>
      <c r="B27" s="131" t="inlineStr">
        <is>
          <t>General venue capacity</t>
        </is>
      </c>
      <c r="C27" s="135" t="n">
        <v>14000</v>
      </c>
      <c r="D27" s="135" t="n">
        <v>14000</v>
      </c>
      <c r="E27" s="135" t="n">
        <v>14000</v>
      </c>
      <c r="F27" s="135" t="n">
        <v>14000</v>
      </c>
      <c r="G27" s="135" t="n">
        <v>14000</v>
      </c>
      <c r="H27" s="137" t="n">
        <v>14000</v>
      </c>
      <c r="I27" s="110" t="n"/>
      <c r="J27" s="110" t="n"/>
      <c r="K27" s="110" t="n"/>
      <c r="L27" s="110" t="n"/>
      <c r="M27" s="110" t="n"/>
      <c r="N27" s="110" t="n"/>
    </row>
    <row r="28">
      <c r="A28" s="130" t="inlineStr">
        <is>
          <t>SCHEDULE</t>
        </is>
      </c>
      <c r="B28" s="131" t="inlineStr">
        <is>
          <t>Home weekend dates</t>
        </is>
      </c>
      <c r="C28" s="135" t="n">
        <v>23</v>
      </c>
      <c r="D28" s="135" t="n">
        <v>23</v>
      </c>
      <c r="E28" s="135" t="n">
        <v>26</v>
      </c>
      <c r="F28" s="135" t="n">
        <v>25</v>
      </c>
      <c r="G28" s="135" t="n">
        <v>25</v>
      </c>
      <c r="H28" s="137" t="n">
        <v>25</v>
      </c>
      <c r="I28" s="110" t="n"/>
      <c r="J28" s="110" t="n"/>
      <c r="K28" s="110" t="n"/>
      <c r="L28" s="110" t="n"/>
      <c r="M28" s="110" t="n"/>
      <c r="N28" s="110" t="n"/>
    </row>
    <row r="29">
      <c r="A29" s="130" t="inlineStr">
        <is>
          <t>SCHEDULE</t>
        </is>
      </c>
      <c r="B29" s="131" t="inlineStr">
        <is>
          <t>Friday home games</t>
        </is>
      </c>
      <c r="C29" s="135" t="n">
        <v>11</v>
      </c>
      <c r="D29" s="135" t="n">
        <v>12</v>
      </c>
      <c r="E29" s="135" t="n">
        <v>12</v>
      </c>
      <c r="F29" s="135" t="n">
        <v>9</v>
      </c>
      <c r="G29" s="135" t="n">
        <v>10</v>
      </c>
      <c r="H29" s="137" t="n">
        <v>10</v>
      </c>
      <c r="I29" s="110" t="n"/>
      <c r="J29" s="110" t="n"/>
      <c r="K29" s="110" t="n"/>
      <c r="L29" s="110" t="n"/>
      <c r="M29" s="110" t="n"/>
      <c r="N29" s="110" t="n"/>
    </row>
    <row r="30">
      <c r="A30" s="130" t="inlineStr">
        <is>
          <t>SCHEDULE</t>
        </is>
      </c>
      <c r="B30" s="131" t="inlineStr">
        <is>
          <t>Saturday home games</t>
        </is>
      </c>
      <c r="C30" s="135" t="n">
        <v>11</v>
      </c>
      <c r="D30" s="135" t="n">
        <v>11</v>
      </c>
      <c r="E30" s="135" t="n">
        <v>12</v>
      </c>
      <c r="F30" s="135" t="n">
        <v>14</v>
      </c>
      <c r="G30" s="135" t="n">
        <v>10</v>
      </c>
      <c r="H30" s="137" t="n">
        <v>11</v>
      </c>
      <c r="I30" s="110" t="n"/>
      <c r="J30" s="110" t="n"/>
      <c r="K30" s="110" t="n"/>
      <c r="L30" s="110" t="n"/>
      <c r="M30" s="110" t="n"/>
      <c r="N30" s="110" t="n"/>
    </row>
    <row r="31">
      <c r="A31" s="130" t="inlineStr">
        <is>
          <t>SCHEDULE</t>
        </is>
      </c>
      <c r="B31" s="131" t="inlineStr">
        <is>
          <t>Sunday home games</t>
        </is>
      </c>
      <c r="C31" s="135" t="n">
        <v>1</v>
      </c>
      <c r="D31" s="135" t="n">
        <v>1</v>
      </c>
      <c r="E31" s="135" t="n">
        <v>2</v>
      </c>
      <c r="F31" s="135" t="n">
        <v>2</v>
      </c>
      <c r="G31" s="135" t="n">
        <v>5</v>
      </c>
      <c r="H31" s="137" t="n">
        <v>4</v>
      </c>
      <c r="I31" s="110" t="n"/>
      <c r="J31" s="110" t="n"/>
      <c r="K31" s="110" t="n"/>
      <c r="L31" s="110" t="n"/>
      <c r="M31" s="110" t="n"/>
      <c r="N31" s="110" t="n"/>
    </row>
    <row r="32">
      <c r="A32" s="130" t="inlineStr">
        <is>
          <t>SCHEDULE</t>
        </is>
      </c>
      <c r="B32" s="131" t="inlineStr">
        <is>
          <t>Back-to-back sets</t>
        </is>
      </c>
      <c r="C32" s="135" t="n">
        <v>24</v>
      </c>
      <c r="D32" s="135" t="n">
        <v>21</v>
      </c>
      <c r="E32" s="135" t="n">
        <v>18</v>
      </c>
      <c r="F32" s="135" t="n">
        <v>20</v>
      </c>
      <c r="G32" s="135" t="n">
        <v>22</v>
      </c>
      <c r="H32" s="137" t="n">
        <v>22</v>
      </c>
      <c r="I32" s="110" t="n"/>
      <c r="J32" s="110" t="n"/>
      <c r="K32" s="110" t="n"/>
      <c r="L32" s="110" t="n"/>
      <c r="M32" s="110" t="n"/>
      <c r="N32" s="110" t="n"/>
    </row>
    <row r="33">
      <c r="A33" s="130" t="inlineStr">
        <is>
          <t>MARKETING</t>
        </is>
      </c>
      <c r="B33" s="131" t="inlineStr">
        <is>
          <t>Promotional/theme nights announced</t>
        </is>
      </c>
      <c r="C33" s="135" t="n">
        <v>13</v>
      </c>
      <c r="D33" s="135" t="n">
        <v>15</v>
      </c>
      <c r="E33" s="135" t="n">
        <v>16</v>
      </c>
      <c r="F33" s="135" t="n">
        <v>23</v>
      </c>
      <c r="G33" s="135" t="n">
        <v>28</v>
      </c>
      <c r="H33" s="137" t="n">
        <v>30</v>
      </c>
      <c r="I33" s="110" t="n"/>
      <c r="J33" s="110" t="n"/>
      <c r="K33" s="110" t="n"/>
      <c r="L33" s="110" t="n"/>
      <c r="M33" s="110" t="n"/>
      <c r="N33" s="110" t="n"/>
    </row>
    <row r="34">
      <c r="A34" s="130" t="inlineStr">
        <is>
          <t>MARKETING</t>
        </is>
      </c>
      <c r="B34" s="131" t="inlineStr">
        <is>
          <t>Giveaway items announced</t>
        </is>
      </c>
      <c r="C34" s="135" t="n">
        <v>7</v>
      </c>
      <c r="D34" s="135" t="n">
        <v>6</v>
      </c>
      <c r="E34" s="135" t="n">
        <v>10</v>
      </c>
      <c r="F34" s="135" t="n">
        <v>11</v>
      </c>
      <c r="G34" s="135" t="n">
        <v>5</v>
      </c>
      <c r="H34" s="137" t="n">
        <v>6</v>
      </c>
      <c r="I34" s="110" t="n"/>
      <c r="J34" s="110" t="n"/>
      <c r="K34" s="110" t="n"/>
      <c r="L34" s="110" t="n"/>
      <c r="M34" s="110" t="n"/>
      <c r="N34" s="110" t="n"/>
    </row>
    <row r="35">
      <c r="A35" s="130" t="inlineStr">
        <is>
          <t>MARKETING</t>
        </is>
      </c>
      <c r="B35" s="131" t="inlineStr">
        <is>
          <t>Pregame tailgates</t>
        </is>
      </c>
      <c r="C35" s="135" t="n">
        <v>6</v>
      </c>
      <c r="D35" s="135" t="n">
        <v>6</v>
      </c>
      <c r="E35" s="135" t="n">
        <v>7</v>
      </c>
      <c r="F35" s="135" t="n">
        <v>7</v>
      </c>
      <c r="G35" s="135" t="n">
        <v>7</v>
      </c>
      <c r="H35" s="137" t="n">
        <v>8</v>
      </c>
      <c r="I35" s="110" t="n"/>
      <c r="J35" s="110" t="n"/>
      <c r="K35" s="110" t="n"/>
      <c r="L35" s="110" t="n"/>
      <c r="M35" s="110" t="n"/>
      <c r="N35" s="110" t="n"/>
    </row>
    <row r="36">
      <c r="A36" s="130" t="inlineStr">
        <is>
          <t>TICKETING</t>
        </is>
      </c>
      <c r="B36" s="131" t="inlineStr">
        <is>
          <t>STM entry price</t>
        </is>
      </c>
      <c r="C36" s="175" t="n">
        <v>476</v>
      </c>
      <c r="D36" s="175" t="n">
        <v>540</v>
      </c>
      <c r="E36" s="175" t="n">
        <v>540</v>
      </c>
      <c r="F36" s="175" t="n">
        <v>560</v>
      </c>
      <c r="G36" s="175" t="n">
        <v>614</v>
      </c>
      <c r="H36" s="181">
        <f>ROUND(G36*(1+STM_Growth_Rate),0)</f>
        <v/>
      </c>
      <c r="I36" s="110" t="n"/>
      <c r="J36" s="110" t="n"/>
      <c r="K36" s="110" t="n"/>
      <c r="L36" s="110" t="n"/>
      <c r="M36" s="110" t="n"/>
      <c r="N36" s="110" t="n"/>
    </row>
    <row r="37">
      <c r="A37" s="130" t="inlineStr">
        <is>
          <t>TICKETING</t>
        </is>
      </c>
      <c r="B37" s="131" t="inlineStr">
        <is>
          <t>Single-game floor (box office / public)</t>
        </is>
      </c>
      <c r="C37" s="135" t="n">
        <v>19</v>
      </c>
      <c r="D37" s="135" t="n">
        <v>21</v>
      </c>
      <c r="E37" s="135" t="n">
        <v>20</v>
      </c>
      <c r="F37" s="135" t="n">
        <v>22</v>
      </c>
      <c r="G37" s="135" t="n">
        <v>23</v>
      </c>
      <c r="H37" s="180">
        <f>ROUND(G37*(1+Single_Game_Growth_Rate),0)</f>
        <v/>
      </c>
      <c r="I37" s="110" t="n"/>
      <c r="J37" s="110" t="n"/>
      <c r="K37" s="110" t="n"/>
      <c r="L37" s="110" t="n"/>
      <c r="M37" s="110" t="n"/>
      <c r="N37" s="110" t="n"/>
    </row>
    <row r="38">
      <c r="A38" s="130" t="inlineStr">
        <is>
          <t>TICKETING</t>
        </is>
      </c>
      <c r="B38" s="131" t="inlineStr">
        <is>
          <t>Single-game floor (online incl. fees)</t>
        </is>
      </c>
      <c r="C38" s="188" t="n"/>
      <c r="D38" s="188" t="n"/>
      <c r="E38" s="188" t="n"/>
      <c r="F38" s="188" t="n">
        <v>27.5</v>
      </c>
      <c r="G38" s="188" t="n">
        <v>28.75</v>
      </c>
      <c r="H38" s="189">
        <f>ROUND(G38*(1+Single_Game_Growth_Rate),2)</f>
        <v/>
      </c>
      <c r="I38" s="110" t="n"/>
      <c r="J38" s="110" t="n"/>
      <c r="K38" s="110" t="n"/>
      <c r="L38" s="110" t="n"/>
      <c r="M38" s="110" t="n"/>
      <c r="N38" s="110" t="n"/>
    </row>
    <row r="39">
      <c r="A39" s="130" t="inlineStr">
        <is>
          <t>TICKETING</t>
        </is>
      </c>
      <c r="B39" s="131" t="inlineStr">
        <is>
          <t>College ticket price</t>
        </is>
      </c>
      <c r="C39" s="188" t="n"/>
      <c r="D39" s="188" t="n"/>
      <c r="E39" s="188" t="n"/>
      <c r="F39" s="188" t="n"/>
      <c r="G39" s="188" t="n">
        <v>17</v>
      </c>
      <c r="H39" s="189">
        <f>ROUND(G39*1.03,2)</f>
        <v/>
      </c>
      <c r="I39" s="110" t="n"/>
      <c r="J39" s="110" t="n"/>
      <c r="K39" s="110" t="n"/>
      <c r="L39" s="110" t="n"/>
      <c r="M39" s="110" t="n"/>
      <c r="N39" s="110" t="n"/>
    </row>
    <row r="40">
      <c r="A40" s="130" t="inlineStr">
        <is>
          <t>TICKETING</t>
        </is>
      </c>
      <c r="B40" s="131" t="inlineStr">
        <is>
          <t>Family pack price floor</t>
        </is>
      </c>
      <c r="C40" s="175" t="n"/>
      <c r="D40" s="175" t="n"/>
      <c r="E40" s="175" t="n"/>
      <c r="F40" s="175" t="n"/>
      <c r="G40" s="175" t="n">
        <v>130</v>
      </c>
      <c r="H40" s="174">
        <f>ROUND(G40*1.04,0)</f>
        <v/>
      </c>
      <c r="I40" s="110" t="n"/>
      <c r="J40" s="110" t="n"/>
      <c r="K40" s="110" t="n"/>
      <c r="L40" s="110" t="n"/>
      <c r="M40" s="110" t="n"/>
      <c r="N40" s="110" t="n"/>
    </row>
    <row r="41">
      <c r="A41" s="130" t="inlineStr">
        <is>
          <t>TICKETING</t>
        </is>
      </c>
      <c r="B41" s="131" t="inlineStr">
        <is>
          <t>Group minimum size</t>
        </is>
      </c>
      <c r="C41" s="135" t="n">
        <v>10</v>
      </c>
      <c r="D41" s="135" t="n">
        <v>10</v>
      </c>
      <c r="E41" s="135" t="n">
        <v>10</v>
      </c>
      <c r="F41" s="135" t="n">
        <v>10</v>
      </c>
      <c r="G41" s="135" t="n">
        <v>10</v>
      </c>
      <c r="H41" s="137" t="n">
        <v>10</v>
      </c>
      <c r="I41" s="110" t="n"/>
      <c r="J41" s="110" t="n"/>
      <c r="K41" s="110" t="n"/>
      <c r="L41" s="110" t="n"/>
      <c r="M41" s="110" t="n"/>
      <c r="N41" s="110" t="n"/>
    </row>
    <row r="42">
      <c r="A42" s="130" t="inlineStr">
        <is>
          <t>TICKETING</t>
        </is>
      </c>
      <c r="B42" s="131" t="inlineStr">
        <is>
          <t>Max mini-plan discount</t>
        </is>
      </c>
      <c r="C42" s="141" t="n">
        <v>0.15</v>
      </c>
      <c r="D42" s="141" t="n">
        <v>0.15</v>
      </c>
      <c r="E42" s="141" t="n">
        <v>0.2</v>
      </c>
      <c r="F42" s="141" t="n">
        <v>0.3</v>
      </c>
      <c r="G42" s="141" t="n">
        <v>0.3</v>
      </c>
      <c r="H42" s="143" t="n">
        <v>0.3</v>
      </c>
      <c r="I42" s="110" t="n"/>
      <c r="J42" s="110" t="n"/>
      <c r="K42" s="110" t="n"/>
      <c r="L42" s="110" t="n"/>
      <c r="M42" s="110" t="n"/>
      <c r="N42" s="110" t="n"/>
    </row>
    <row r="43">
      <c r="A43" s="130" t="inlineStr">
        <is>
          <t>TICKETING</t>
        </is>
      </c>
      <c r="B43" s="131" t="inlineStr">
        <is>
          <t>Weighted average ticket price (modeled)</t>
        </is>
      </c>
      <c r="C43" s="188" t="n">
        <v>22</v>
      </c>
      <c r="D43" s="188" t="n">
        <v>22.4</v>
      </c>
      <c r="E43" s="188" t="n">
        <v>23.4</v>
      </c>
      <c r="F43" s="188" t="n">
        <v>24.4</v>
      </c>
      <c r="G43" s="188" t="n">
        <v>25.4</v>
      </c>
      <c r="H43" s="190">
        <f>ROUND(G43*(1+WATP_Growth_Rate),2)</f>
        <v/>
      </c>
      <c r="I43" s="110" t="n"/>
      <c r="J43" s="110" t="n"/>
      <c r="K43" s="110" t="n"/>
      <c r="L43" s="110" t="n"/>
      <c r="M43" s="110" t="n"/>
      <c r="N43" s="110" t="n"/>
    </row>
    <row r="44">
      <c r="A44" s="130" t="inlineStr">
        <is>
          <t>TICKETING</t>
        </is>
      </c>
      <c r="B44" s="131" t="inlineStr">
        <is>
          <t>Group sales share of gate</t>
        </is>
      </c>
      <c r="C44" s="141" t="n">
        <v>0.16</v>
      </c>
      <c r="D44" s="141" t="n">
        <v>0.17</v>
      </c>
      <c r="E44" s="141" t="n">
        <v>0.18</v>
      </c>
      <c r="F44" s="141" t="n">
        <v>0.19</v>
      </c>
      <c r="G44" s="141" t="n">
        <v>0.2</v>
      </c>
      <c r="H44" s="143" t="n">
        <v>0.21</v>
      </c>
      <c r="I44" s="110" t="n"/>
      <c r="J44" s="110" t="n"/>
      <c r="K44" s="110" t="n"/>
      <c r="L44" s="110" t="n"/>
      <c r="M44" s="110" t="n"/>
      <c r="N44" s="110" t="n"/>
    </row>
    <row r="45">
      <c r="A45" s="130" t="inlineStr">
        <is>
          <t>TICKETING</t>
        </is>
      </c>
      <c r="B45" s="131" t="inlineStr">
        <is>
          <t>Premium seating yield (included in gate)</t>
        </is>
      </c>
      <c r="C45" s="175" t="n">
        <v>380000</v>
      </c>
      <c r="D45" s="175" t="n">
        <v>400000</v>
      </c>
      <c r="E45" s="175" t="n">
        <v>460000</v>
      </c>
      <c r="F45" s="175" t="n">
        <v>520000</v>
      </c>
      <c r="G45" s="175" t="n">
        <v>600000</v>
      </c>
      <c r="H45" s="174">
        <f>ROUND(G45*(1+MAX(WATP_Growth_Rate,0.10)),0)</f>
        <v/>
      </c>
      <c r="I45" s="110" t="n"/>
      <c r="J45" s="110" t="n"/>
      <c r="K45" s="110" t="n"/>
      <c r="L45" s="110" t="n"/>
      <c r="M45" s="110" t="n"/>
      <c r="N45" s="110" t="n"/>
    </row>
    <row r="46">
      <c r="A46" s="130" t="inlineStr">
        <is>
          <t>TICKETING</t>
        </is>
      </c>
      <c r="B46" s="131" t="inlineStr">
        <is>
          <t>STM base (full-season equivalents)</t>
        </is>
      </c>
      <c r="C46" s="135" t="n">
        <v>2300</v>
      </c>
      <c r="D46" s="135" t="n">
        <v>2350</v>
      </c>
      <c r="E46" s="135" t="n">
        <v>2450</v>
      </c>
      <c r="F46" s="135" t="n">
        <v>2550</v>
      </c>
      <c r="G46" s="135" t="n">
        <v>2700</v>
      </c>
      <c r="H46" s="137">
        <f>ROUND(G46*(1+MIN(Attendance_Growth_Rate,0.03)),0)</f>
        <v/>
      </c>
      <c r="I46" s="110" t="n"/>
      <c r="J46" s="110" t="n"/>
      <c r="K46" s="110" t="n"/>
      <c r="L46" s="110" t="n"/>
      <c r="M46" s="110" t="n"/>
      <c r="N46" s="110" t="n"/>
    </row>
    <row r="47">
      <c r="A47" s="130" t="inlineStr">
        <is>
          <t>TICKETING</t>
        </is>
      </c>
      <c r="B47" s="131" t="inlineStr">
        <is>
          <t>STM retention rate</t>
        </is>
      </c>
      <c r="C47" s="141" t="n">
        <v>0.77</v>
      </c>
      <c r="D47" s="141" t="n">
        <v>0.76</v>
      </c>
      <c r="E47" s="141" t="n">
        <v>0.78</v>
      </c>
      <c r="F47" s="141" t="n">
        <v>0.8</v>
      </c>
      <c r="G47" s="141" t="n">
        <v>0.82</v>
      </c>
      <c r="H47" s="143" t="n">
        <v>0.83</v>
      </c>
      <c r="I47" s="110" t="n"/>
      <c r="J47" s="110" t="n"/>
      <c r="K47" s="110" t="n"/>
      <c r="L47" s="110" t="n"/>
      <c r="M47" s="110" t="n"/>
      <c r="N47" s="110" t="n"/>
    </row>
    <row r="48">
      <c r="A48" s="130" t="inlineStr">
        <is>
          <t>ANCILLARY</t>
        </is>
      </c>
      <c r="B48" s="131" t="inlineStr">
        <is>
          <t>F&amp;B per-cap gross</t>
        </is>
      </c>
      <c r="C48" s="188" t="n">
        <v>13</v>
      </c>
      <c r="D48" s="188" t="n">
        <v>13.4</v>
      </c>
      <c r="E48" s="188" t="n">
        <v>14</v>
      </c>
      <c r="F48" s="188" t="n">
        <v>14.8</v>
      </c>
      <c r="G48" s="188" t="n">
        <v>15.5</v>
      </c>
      <c r="H48" s="190">
        <f>ROUND(G48*(1+FB_Growth_Rate),2)</f>
        <v/>
      </c>
      <c r="I48" s="110" t="n"/>
      <c r="J48" s="110" t="n"/>
      <c r="K48" s="110" t="n"/>
      <c r="L48" s="110" t="n"/>
      <c r="M48" s="110" t="n"/>
      <c r="N48" s="110" t="n"/>
    </row>
    <row r="49">
      <c r="A49" s="130" t="inlineStr">
        <is>
          <t>ANCILLARY</t>
        </is>
      </c>
      <c r="B49" s="131" t="inlineStr">
        <is>
          <t>Team concession commission rate</t>
        </is>
      </c>
      <c r="C49" s="141" t="n">
        <v>0.04</v>
      </c>
      <c r="D49" s="141" t="n">
        <v>0.04</v>
      </c>
      <c r="E49" s="141" t="n">
        <v>0.04</v>
      </c>
      <c r="F49" s="141" t="n">
        <v>0.04</v>
      </c>
      <c r="G49" s="141" t="n">
        <v>0.04</v>
      </c>
      <c r="H49" s="143" t="n">
        <v>0.04</v>
      </c>
      <c r="I49" s="110" t="n"/>
      <c r="J49" s="110" t="n"/>
      <c r="K49" s="110" t="n"/>
      <c r="L49" s="110" t="n"/>
      <c r="M49" s="110" t="n"/>
      <c r="N49" s="110" t="n"/>
    </row>
    <row r="50">
      <c r="A50" s="130" t="inlineStr">
        <is>
          <t>ANCILLARY</t>
        </is>
      </c>
      <c r="B50" s="131" t="inlineStr">
        <is>
          <t>Merchandise per-cap</t>
        </is>
      </c>
      <c r="C50" s="188" t="n">
        <v>3.6</v>
      </c>
      <c r="D50" s="188" t="n">
        <v>3.8</v>
      </c>
      <c r="E50" s="188" t="n">
        <v>4</v>
      </c>
      <c r="F50" s="188" t="n">
        <v>4.2</v>
      </c>
      <c r="G50" s="188" t="n">
        <v>4.5</v>
      </c>
      <c r="H50" s="190">
        <f>ROUND(G50*(1+Merch_Growth_Rate),2)</f>
        <v/>
      </c>
      <c r="I50" s="110" t="n"/>
      <c r="J50" s="110" t="n"/>
      <c r="K50" s="110" t="n"/>
      <c r="L50" s="110" t="n"/>
      <c r="M50" s="110" t="n"/>
      <c r="N50" s="110" t="n"/>
    </row>
    <row r="51">
      <c r="A51" s="130" t="inlineStr">
        <is>
          <t>ANCILLARY</t>
        </is>
      </c>
      <c r="B51" s="131" t="inlineStr">
        <is>
          <t>Parking fee assumption</t>
        </is>
      </c>
      <c r="C51" s="191" t="n">
        <v>15</v>
      </c>
      <c r="D51" s="191" t="n">
        <v>15</v>
      </c>
      <c r="E51" s="191" t="n">
        <v>15</v>
      </c>
      <c r="F51" s="191" t="n">
        <v>18</v>
      </c>
      <c r="G51" s="191" t="n">
        <v>20</v>
      </c>
      <c r="H51" s="192" t="n">
        <v>21</v>
      </c>
      <c r="I51" s="110" t="n"/>
      <c r="J51" s="110" t="n"/>
      <c r="K51" s="110" t="n"/>
      <c r="L51" s="110" t="n"/>
      <c r="M51" s="110" t="n"/>
      <c r="N51" s="110" t="n"/>
    </row>
    <row r="52">
      <c r="A52" s="130" t="inlineStr">
        <is>
          <t>ANCILLARY</t>
        </is>
      </c>
      <c r="B52" s="131" t="inlineStr">
        <is>
          <t>Average auto occupancy</t>
        </is>
      </c>
      <c r="C52" s="191" t="n">
        <v>2.6</v>
      </c>
      <c r="D52" s="191" t="n">
        <v>2.6</v>
      </c>
      <c r="E52" s="191" t="n">
        <v>2.6</v>
      </c>
      <c r="F52" s="191" t="n">
        <v>2.5</v>
      </c>
      <c r="G52" s="191" t="n">
        <v>2.5</v>
      </c>
      <c r="H52" s="192" t="n">
        <v>2.5</v>
      </c>
      <c r="I52" s="110" t="n"/>
      <c r="J52" s="110" t="n"/>
      <c r="K52" s="110" t="n"/>
      <c r="L52" s="110" t="n"/>
      <c r="M52" s="110" t="n"/>
      <c r="N52" s="110" t="n"/>
    </row>
    <row r="53">
      <c r="A53" s="130" t="inlineStr">
        <is>
          <t>ANCILLARY</t>
        </is>
      </c>
      <c r="B53" s="131" t="inlineStr">
        <is>
          <t>Team share of parking</t>
        </is>
      </c>
      <c r="C53" s="141" t="n">
        <v>0.05</v>
      </c>
      <c r="D53" s="141" t="n">
        <v>0.05</v>
      </c>
      <c r="E53" s="141" t="n">
        <v>0.05</v>
      </c>
      <c r="F53" s="141" t="n">
        <v>0.05</v>
      </c>
      <c r="G53" s="141" t="n">
        <v>0.05</v>
      </c>
      <c r="H53" s="143" t="n">
        <v>0.05</v>
      </c>
      <c r="I53" s="110" t="n"/>
      <c r="J53" s="110" t="n"/>
      <c r="K53" s="110" t="n"/>
      <c r="L53" s="110" t="n"/>
      <c r="M53" s="110" t="n"/>
      <c r="N53" s="110" t="n"/>
    </row>
    <row r="54">
      <c r="A54" s="130" t="inlineStr">
        <is>
          <t>SPONSORSHIP</t>
        </is>
      </c>
      <c r="B54" s="131" t="inlineStr">
        <is>
          <t>Total sponsorship revenue</t>
        </is>
      </c>
      <c r="C54" s="175" t="n">
        <v>1950000</v>
      </c>
      <c r="D54" s="175" t="n">
        <v>2000000</v>
      </c>
      <c r="E54" s="175" t="n">
        <v>2200000</v>
      </c>
      <c r="F54" s="175" t="n">
        <v>2450000</v>
      </c>
      <c r="G54" s="175" t="n">
        <v>2700000</v>
      </c>
      <c r="H54" s="181">
        <f>ROUND(G54*(1+Sponsorship_Growth_Rate),0)</f>
        <v/>
      </c>
      <c r="I54" s="110" t="n"/>
      <c r="J54" s="110" t="n"/>
      <c r="K54" s="110" t="n"/>
      <c r="L54" s="110" t="n"/>
      <c r="M54" s="110" t="n"/>
      <c r="N54" s="110" t="n"/>
    </row>
    <row r="55">
      <c r="A55" s="130" t="inlineStr">
        <is>
          <t>SPONSORSHIP</t>
        </is>
      </c>
      <c r="B55" s="131" t="inlineStr">
        <is>
          <t>Title partner value</t>
        </is>
      </c>
      <c r="C55" s="175" t="n">
        <v>450000</v>
      </c>
      <c r="D55" s="175" t="n">
        <v>450000</v>
      </c>
      <c r="E55" s="175" t="n">
        <v>480000</v>
      </c>
      <c r="F55" s="175" t="n">
        <v>500000</v>
      </c>
      <c r="G55" s="175" t="n">
        <v>550000</v>
      </c>
      <c r="H55" s="174" t="n">
        <v>580000</v>
      </c>
      <c r="I55" s="110" t="n"/>
      <c r="J55" s="110" t="n"/>
      <c r="K55" s="110" t="n"/>
      <c r="L55" s="110" t="n"/>
      <c r="M55" s="110" t="n"/>
      <c r="N55" s="110" t="n"/>
    </row>
    <row r="56">
      <c r="A56" s="130" t="inlineStr">
        <is>
          <t>SPONSORSHIP</t>
        </is>
      </c>
      <c r="B56" s="131" t="inlineStr">
        <is>
          <t>Jersey / patch revenue</t>
        </is>
      </c>
      <c r="C56" s="175" t="n">
        <v>0</v>
      </c>
      <c r="D56" s="175" t="n">
        <v>0</v>
      </c>
      <c r="E56" s="175" t="n">
        <v>150000</v>
      </c>
      <c r="F56" s="175" t="n">
        <v>180000</v>
      </c>
      <c r="G56" s="175" t="n">
        <v>200000</v>
      </c>
      <c r="H56" s="174" t="n">
        <v>220000</v>
      </c>
      <c r="I56" s="110" t="n"/>
      <c r="J56" s="110" t="n"/>
      <c r="K56" s="110" t="n"/>
      <c r="L56" s="110" t="n"/>
      <c r="M56" s="110" t="n"/>
      <c r="N56" s="110" t="n"/>
    </row>
    <row r="57">
      <c r="A57" s="130" t="inlineStr">
        <is>
          <t>SPONSORSHIP</t>
        </is>
      </c>
      <c r="B57" s="131" t="inlineStr">
        <is>
          <t>Digital inventory yield</t>
        </is>
      </c>
      <c r="C57" s="175" t="n">
        <v>80000</v>
      </c>
      <c r="D57" s="175" t="n">
        <v>90000</v>
      </c>
      <c r="E57" s="175" t="n">
        <v>110000</v>
      </c>
      <c r="F57" s="175" t="n">
        <v>130000</v>
      </c>
      <c r="G57" s="175" t="n">
        <v>150000</v>
      </c>
      <c r="H57" s="174" t="n">
        <v>165000</v>
      </c>
      <c r="I57" s="110" t="n"/>
      <c r="J57" s="110" t="n"/>
      <c r="K57" s="110" t="n"/>
      <c r="L57" s="110" t="n"/>
      <c r="M57" s="110" t="n"/>
      <c r="N57" s="110" t="n"/>
    </row>
    <row r="58">
      <c r="A58" s="130" t="inlineStr">
        <is>
          <t>MEDIA</t>
        </is>
      </c>
      <c r="B58" s="131" t="inlineStr">
        <is>
          <t>Broadcast / streaming value</t>
        </is>
      </c>
      <c r="C58" s="175" t="n">
        <v>150000</v>
      </c>
      <c r="D58" s="175" t="n">
        <v>100000</v>
      </c>
      <c r="E58" s="175" t="n">
        <v>100000</v>
      </c>
      <c r="F58" s="175" t="n">
        <v>110000</v>
      </c>
      <c r="G58" s="175" t="n">
        <v>130000</v>
      </c>
      <c r="H58" s="174" t="n">
        <v>145000</v>
      </c>
      <c r="I58" s="110" t="n"/>
      <c r="J58" s="110" t="n"/>
      <c r="K58" s="110" t="n"/>
      <c r="L58" s="110" t="n"/>
      <c r="M58" s="110" t="n"/>
      <c r="N58" s="110" t="n"/>
    </row>
    <row r="59">
      <c r="A59" s="130" t="inlineStr">
        <is>
          <t>DIGITAL</t>
        </is>
      </c>
      <c r="B59" s="131" t="inlineStr">
        <is>
          <t>Email subscribers (estimated active)</t>
        </is>
      </c>
      <c r="C59" s="135" t="n">
        <v>18000</v>
      </c>
      <c r="D59" s="135" t="n">
        <v>19000</v>
      </c>
      <c r="E59" s="135" t="n">
        <v>20000</v>
      </c>
      <c r="F59" s="135" t="n">
        <v>21000</v>
      </c>
      <c r="G59" s="135" t="n">
        <v>22000</v>
      </c>
      <c r="H59" s="137">
        <f>ROUND(G59*(1+MIN(Website_Growth_Rate,0.10)),0)</f>
        <v/>
      </c>
      <c r="I59" s="110" t="n"/>
      <c r="J59" s="110" t="n"/>
      <c r="K59" s="110" t="n"/>
      <c r="L59" s="110" t="n"/>
      <c r="M59" s="110" t="n"/>
      <c r="N59" s="110" t="n"/>
    </row>
    <row r="60">
      <c r="A60" s="130" t="inlineStr">
        <is>
          <t>DIGITAL</t>
        </is>
      </c>
      <c r="B60" s="131" t="inlineStr">
        <is>
          <t>Social audience (aggregate est.)</t>
        </is>
      </c>
      <c r="C60" s="135" t="n">
        <v>150000</v>
      </c>
      <c r="D60" s="135" t="n">
        <v>165000</v>
      </c>
      <c r="E60" s="135" t="n">
        <v>180000</v>
      </c>
      <c r="F60" s="135" t="n">
        <v>195000</v>
      </c>
      <c r="G60" s="135" t="n">
        <v>205000</v>
      </c>
      <c r="H60" s="137">
        <f>ROUND(G60*1.05,0)</f>
        <v/>
      </c>
      <c r="I60" s="110" t="n"/>
      <c r="J60" s="110" t="n"/>
      <c r="K60" s="110" t="n"/>
      <c r="L60" s="110" t="n"/>
      <c r="M60" s="110" t="n"/>
      <c r="N60" s="110" t="n"/>
    </row>
    <row r="61">
      <c r="A61" s="130" t="inlineStr">
        <is>
          <t>DIGITAL</t>
        </is>
      </c>
      <c r="B61" s="131" t="inlineStr">
        <is>
          <t>Website monthly visits</t>
        </is>
      </c>
      <c r="C61" s="135" t="n">
        <v>28000</v>
      </c>
      <c r="D61" s="135" t="n">
        <v>29000</v>
      </c>
      <c r="E61" s="135" t="n">
        <v>31000</v>
      </c>
      <c r="F61" s="135" t="n">
        <v>33000</v>
      </c>
      <c r="G61" s="135" t="n">
        <v>35200</v>
      </c>
      <c r="H61" s="180">
        <f>ROUND(G61*(1+Website_Growth_Rate),0)</f>
        <v/>
      </c>
      <c r="I61" s="110" t="n"/>
      <c r="J61" s="110" t="n"/>
      <c r="K61" s="110" t="n"/>
      <c r="L61" s="110" t="n"/>
      <c r="M61" s="110" t="n"/>
      <c r="N61" s="110" t="n"/>
    </row>
    <row r="62">
      <c r="A62" s="130" t="inlineStr">
        <is>
          <t>DIGITAL</t>
        </is>
      </c>
      <c r="B62" s="131" t="inlineStr">
        <is>
          <t>Bounce rate</t>
        </is>
      </c>
      <c r="C62" s="141" t="n">
        <v>0.5</v>
      </c>
      <c r="D62" s="141" t="n">
        <v>0.495</v>
      </c>
      <c r="E62" s="141" t="n">
        <v>0.49</v>
      </c>
      <c r="F62" s="141" t="n">
        <v>0.48</v>
      </c>
      <c r="G62" s="141" t="n">
        <v>0.4725</v>
      </c>
      <c r="H62" s="143" t="n">
        <v>0.465</v>
      </c>
      <c r="I62" s="110" t="n"/>
      <c r="J62" s="110" t="n"/>
      <c r="K62" s="110" t="n"/>
      <c r="L62" s="110" t="n"/>
      <c r="M62" s="110" t="n"/>
      <c r="N62" s="110" t="n"/>
    </row>
    <row r="63">
      <c r="A63" s="130" t="inlineStr">
        <is>
          <t>DIGITAL</t>
        </is>
      </c>
      <c r="B63" s="131" t="inlineStr">
        <is>
          <t>Pages per visit</t>
        </is>
      </c>
      <c r="C63" s="191" t="n">
        <v>1.55</v>
      </c>
      <c r="D63" s="191" t="n">
        <v>1.6</v>
      </c>
      <c r="E63" s="191" t="n">
        <v>1.65</v>
      </c>
      <c r="F63" s="191" t="n">
        <v>1.72</v>
      </c>
      <c r="G63" s="191" t="n">
        <v>1.8</v>
      </c>
      <c r="H63" s="192" t="n">
        <v>1.9</v>
      </c>
      <c r="I63" s="110" t="n"/>
      <c r="J63" s="110" t="n"/>
      <c r="K63" s="110" t="n"/>
      <c r="L63" s="110" t="n"/>
      <c r="M63" s="110" t="n"/>
      <c r="N63" s="110" t="n"/>
    </row>
    <row r="64">
      <c r="A64" s="130" t="inlineStr">
        <is>
          <t>DIGITAL</t>
        </is>
      </c>
      <c r="B64" s="131" t="inlineStr">
        <is>
          <t>Average visit duration (sec)</t>
        </is>
      </c>
      <c r="C64" s="135" t="n">
        <v>60</v>
      </c>
      <c r="D64" s="135" t="n">
        <v>62</v>
      </c>
      <c r="E64" s="135" t="n">
        <v>65</v>
      </c>
      <c r="F64" s="135" t="n">
        <v>68</v>
      </c>
      <c r="G64" s="135" t="n">
        <v>70</v>
      </c>
      <c r="H64" s="137" t="n">
        <v>75</v>
      </c>
      <c r="I64" s="110" t="n"/>
      <c r="J64" s="110" t="n"/>
      <c r="K64" s="110" t="n"/>
      <c r="L64" s="110" t="n"/>
      <c r="M64" s="110" t="n"/>
      <c r="N64" s="110" t="n"/>
    </row>
    <row r="65">
      <c r="A65" s="130" t="inlineStr">
        <is>
          <t>DIGITAL</t>
        </is>
      </c>
      <c r="B65" s="131" t="inlineStr">
        <is>
          <t>Organic search share</t>
        </is>
      </c>
      <c r="C65" s="141" t="n">
        <v>0.4</v>
      </c>
      <c r="D65" s="141" t="n">
        <v>0.41</v>
      </c>
      <c r="E65" s="141" t="n">
        <v>0.43</v>
      </c>
      <c r="F65" s="141" t="n">
        <v>0.44</v>
      </c>
      <c r="G65" s="141" t="n">
        <v>0.4551</v>
      </c>
      <c r="H65" s="143">
        <f>MIN(G65+0.005,0.60)</f>
        <v/>
      </c>
      <c r="I65" s="110" t="n"/>
      <c r="J65" s="110" t="n"/>
      <c r="K65" s="110" t="n"/>
      <c r="L65" s="110" t="n"/>
      <c r="M65" s="110" t="n"/>
      <c r="N65" s="110" t="n"/>
    </row>
    <row r="66">
      <c r="A66" s="130" t="inlineStr">
        <is>
          <t>MARKETING</t>
        </is>
      </c>
      <c r="B66" s="131" t="inlineStr">
        <is>
          <t>Customer acquisition cost</t>
        </is>
      </c>
      <c r="C66" s="175" t="n">
        <v>45</v>
      </c>
      <c r="D66" s="175" t="n">
        <v>44</v>
      </c>
      <c r="E66" s="175" t="n">
        <v>42</v>
      </c>
      <c r="F66" s="175" t="n">
        <v>40</v>
      </c>
      <c r="G66" s="175" t="n">
        <v>39</v>
      </c>
      <c r="H66" s="174">
        <f>ROUND(MAX(G66*(1-0.05),35),0)</f>
        <v/>
      </c>
      <c r="I66" s="110" t="n"/>
      <c r="J66" s="110" t="n"/>
      <c r="K66" s="110" t="n"/>
      <c r="L66" s="110" t="n"/>
      <c r="M66" s="110" t="n"/>
      <c r="N66" s="110" t="n"/>
    </row>
    <row r="67">
      <c r="A67" s="130" t="inlineStr">
        <is>
          <t>MARKETING</t>
        </is>
      </c>
      <c r="B67" s="131" t="inlineStr">
        <is>
          <t>Net promoter score</t>
        </is>
      </c>
      <c r="C67" s="135" t="n">
        <v>45</v>
      </c>
      <c r="D67" s="135" t="n">
        <v>43</v>
      </c>
      <c r="E67" s="135" t="n">
        <v>46</v>
      </c>
      <c r="F67" s="135" t="n">
        <v>50</v>
      </c>
      <c r="G67" s="135" t="n">
        <v>54</v>
      </c>
      <c r="H67" s="137">
        <f>ROUND(G67+2,0)</f>
        <v/>
      </c>
      <c r="I67" s="110" t="n"/>
      <c r="J67" s="110" t="n"/>
      <c r="K67" s="110" t="n"/>
      <c r="L67" s="110" t="n"/>
      <c r="M67" s="110" t="n"/>
      <c r="N67" s="110" t="n"/>
    </row>
    <row r="68">
      <c r="A68" s="130" t="inlineStr">
        <is>
          <t>ARENA</t>
        </is>
      </c>
      <c r="B68" s="131" t="inlineStr">
        <is>
          <t>Facility fee per paid ticket</t>
        </is>
      </c>
      <c r="C68" s="175" t="n"/>
      <c r="D68" s="175" t="n"/>
      <c r="E68" s="175" t="n">
        <v>2.5</v>
      </c>
      <c r="F68" s="175" t="n">
        <v>3</v>
      </c>
      <c r="G68" s="175" t="n">
        <v>3</v>
      </c>
      <c r="H68" s="174" t="n">
        <v>3</v>
      </c>
      <c r="I68" s="110" t="n"/>
      <c r="J68" s="110" t="n"/>
      <c r="K68" s="110" t="n"/>
      <c r="L68" s="110" t="n"/>
      <c r="M68" s="110" t="n"/>
      <c r="N68" s="110" t="n"/>
    </row>
    <row r="69">
      <c r="A69" s="130" t="inlineStr">
        <is>
          <t>ARENA</t>
        </is>
      </c>
      <c r="B69" s="131" t="inlineStr">
        <is>
          <t>Base rent floor (annualized)</t>
        </is>
      </c>
      <c r="C69" s="175" t="n"/>
      <c r="D69" s="175" t="n"/>
      <c r="E69" s="175" t="n">
        <v>775716</v>
      </c>
      <c r="F69" s="175" t="n">
        <v>799107</v>
      </c>
      <c r="G69" s="175" t="n">
        <v>823084</v>
      </c>
      <c r="H69" s="174" t="n">
        <v>839546</v>
      </c>
      <c r="I69" s="110" t="n"/>
      <c r="J69" s="110" t="n"/>
      <c r="K69" s="110" t="n"/>
      <c r="L69" s="110" t="n"/>
      <c r="M69" s="110" t="n"/>
      <c r="N69" s="110" t="n"/>
    </row>
    <row r="70">
      <c r="A70" s="130" t="inlineStr">
        <is>
          <t>ARENA</t>
        </is>
      </c>
      <c r="B70" s="131" t="inlineStr">
        <is>
          <t>Rent escalator</t>
        </is>
      </c>
      <c r="C70" s="141" t="n"/>
      <c r="D70" s="141" t="n"/>
      <c r="E70" s="141" t="n"/>
      <c r="F70" s="141" t="n">
        <v>0.03</v>
      </c>
      <c r="G70" s="141" t="n">
        <v>0.03</v>
      </c>
      <c r="H70" s="143" t="n">
        <v>0.02</v>
      </c>
      <c r="I70" s="110" t="n"/>
      <c r="J70" s="110" t="n"/>
      <c r="K70" s="110" t="n"/>
      <c r="L70" s="110" t="n"/>
      <c r="M70" s="110" t="n"/>
      <c r="N70" s="110" t="n"/>
    </row>
    <row r="71">
      <c r="A71" s="130" t="inlineStr">
        <is>
          <t>ARENA</t>
        </is>
      </c>
      <c r="B71" s="131" t="inlineStr">
        <is>
          <t>Security / police overhead per event</t>
        </is>
      </c>
      <c r="C71" s="135" t="n">
        <v>12000</v>
      </c>
      <c r="D71" s="135" t="n">
        <v>12000</v>
      </c>
      <c r="E71" s="135" t="n">
        <v>13000</v>
      </c>
      <c r="F71" s="135" t="n">
        <v>14000</v>
      </c>
      <c r="G71" s="135" t="n">
        <v>15000</v>
      </c>
      <c r="H71" s="137" t="n">
        <v>15500</v>
      </c>
      <c r="I71" s="110" t="n"/>
      <c r="J71" s="110" t="n"/>
      <c r="K71" s="110" t="n"/>
      <c r="L71" s="110" t="n"/>
      <c r="M71" s="110" t="n"/>
      <c r="N71" s="110" t="n"/>
    </row>
    <row r="72">
      <c r="A72" s="130" t="inlineStr">
        <is>
          <t>ARENA</t>
        </is>
      </c>
      <c r="B72" s="131" t="inlineStr">
        <is>
          <t>Utilities &amp; HVAC load</t>
        </is>
      </c>
      <c r="C72" s="175" t="n">
        <v>180000</v>
      </c>
      <c r="D72" s="175" t="n">
        <v>190000</v>
      </c>
      <c r="E72" s="175" t="n">
        <v>210000</v>
      </c>
      <c r="F72" s="175" t="n">
        <v>230000</v>
      </c>
      <c r="G72" s="175" t="n">
        <v>250000</v>
      </c>
      <c r="H72" s="174" t="n">
        <v>260000</v>
      </c>
      <c r="I72" s="110" t="n"/>
      <c r="J72" s="110" t="n"/>
      <c r="K72" s="110" t="n"/>
      <c r="L72" s="110" t="n"/>
      <c r="M72" s="110" t="n"/>
      <c r="N72" s="110" t="n"/>
    </row>
    <row r="73">
      <c r="A73" s="130" t="inlineStr">
        <is>
          <t>ARENA</t>
        </is>
      </c>
      <c r="B73" s="131" t="inlineStr">
        <is>
          <t>Load-in / load-out allocation</t>
        </is>
      </c>
      <c r="C73" s="175" t="n">
        <v>80000</v>
      </c>
      <c r="D73" s="175" t="n">
        <v>85000</v>
      </c>
      <c r="E73" s="175" t="n">
        <v>90000</v>
      </c>
      <c r="F73" s="175" t="n">
        <v>95000</v>
      </c>
      <c r="G73" s="175" t="n">
        <v>100000</v>
      </c>
      <c r="H73" s="174" t="n">
        <v>105000</v>
      </c>
      <c r="I73" s="110" t="n"/>
      <c r="J73" s="110" t="n"/>
      <c r="K73" s="110" t="n"/>
      <c r="L73" s="110" t="n"/>
      <c r="M73" s="110" t="n"/>
      <c r="N73" s="110" t="n"/>
    </row>
    <row r="74">
      <c r="A74" s="130" t="inlineStr">
        <is>
          <t>ARENA</t>
        </is>
      </c>
      <c r="B74" s="131" t="inlineStr">
        <is>
          <t>Midway district assessment / CFD</t>
        </is>
      </c>
      <c r="C74" s="135" t="n">
        <v>0</v>
      </c>
      <c r="D74" s="135" t="n">
        <v>0</v>
      </c>
      <c r="E74" s="135" t="n">
        <v>0</v>
      </c>
      <c r="F74" s="135" t="n">
        <v>0</v>
      </c>
      <c r="G74" s="135" t="n">
        <v>0</v>
      </c>
      <c r="H74" s="137" t="n">
        <v>0</v>
      </c>
      <c r="I74" s="110" t="n"/>
      <c r="J74" s="110" t="n"/>
      <c r="K74" s="110" t="n"/>
      <c r="L74" s="110" t="n"/>
      <c r="M74" s="110" t="n"/>
      <c r="N74" s="110" t="n"/>
    </row>
    <row r="75">
      <c r="A75" s="130" t="inlineStr">
        <is>
          <t>ARENA</t>
        </is>
      </c>
      <c r="B75" s="131" t="inlineStr">
        <is>
          <t>Lease horizon (months remaining)</t>
        </is>
      </c>
      <c r="C75" s="135" t="n"/>
      <c r="D75" s="135" t="n"/>
      <c r="E75" s="135" t="n">
        <v>29</v>
      </c>
      <c r="F75" s="135" t="n">
        <v>17</v>
      </c>
      <c r="G75" s="135" t="n">
        <v>5</v>
      </c>
      <c r="H75" s="137" t="n">
        <v>0</v>
      </c>
      <c r="I75" s="110" t="n"/>
      <c r="J75" s="110" t="n"/>
      <c r="K75" s="110" t="n"/>
      <c r="L75" s="110" t="n"/>
      <c r="M75" s="110" t="n"/>
      <c r="N75" s="110" t="n"/>
    </row>
    <row r="76">
      <c r="A76" s="130" t="inlineStr">
        <is>
          <t>ARENA</t>
        </is>
      </c>
      <c r="B76" s="131" t="inlineStr">
        <is>
          <t>Naming-rights tranche allocable to team ops</t>
        </is>
      </c>
      <c r="C76" s="135" t="n">
        <v>250000</v>
      </c>
      <c r="D76" s="135" t="n">
        <v>250000</v>
      </c>
      <c r="E76" s="135" t="n">
        <v>260000</v>
      </c>
      <c r="F76" s="135" t="n">
        <v>275000</v>
      </c>
      <c r="G76" s="135" t="n">
        <v>300000</v>
      </c>
      <c r="H76" s="137" t="n">
        <v>310000</v>
      </c>
      <c r="I76" s="110" t="n"/>
      <c r="J76" s="110" t="n"/>
      <c r="K76" s="110" t="n"/>
      <c r="L76" s="110" t="n"/>
      <c r="M76" s="110" t="n"/>
      <c r="N76" s="110" t="n"/>
    </row>
    <row r="77">
      <c r="A77" s="130" t="inlineStr">
        <is>
          <t>ARENA</t>
        </is>
      </c>
      <c r="B77" s="131" t="inlineStr">
        <is>
          <t>Tax liability</t>
        </is>
      </c>
      <c r="C77" s="175" t="n">
        <v>50000</v>
      </c>
      <c r="D77" s="175" t="n">
        <v>50000</v>
      </c>
      <c r="E77" s="175" t="n">
        <v>50000</v>
      </c>
      <c r="F77" s="175" t="n">
        <v>50000</v>
      </c>
      <c r="G77" s="175" t="n">
        <v>50000</v>
      </c>
      <c r="H77" s="174" t="n">
        <v>50000</v>
      </c>
      <c r="I77" s="110" t="n"/>
      <c r="J77" s="110" t="n"/>
      <c r="K77" s="110" t="n"/>
      <c r="L77" s="110" t="n"/>
      <c r="M77" s="110" t="n"/>
      <c r="N77" s="110" t="n"/>
    </row>
    <row r="78">
      <c r="A78" s="130" t="inlineStr">
        <is>
          <t>ARENA</t>
        </is>
      </c>
      <c r="B78" s="131" t="inlineStr">
        <is>
          <t>Debt-to-value ratio</t>
        </is>
      </c>
      <c r="C78" s="141" t="n">
        <v>0.05</v>
      </c>
      <c r="D78" s="141" t="n">
        <v>0.05</v>
      </c>
      <c r="E78" s="141" t="n">
        <v>0.05</v>
      </c>
      <c r="F78" s="141" t="n">
        <v>0.05</v>
      </c>
      <c r="G78" s="141" t="n">
        <v>0.05</v>
      </c>
      <c r="H78" s="143" t="n">
        <v>0.05</v>
      </c>
      <c r="I78" s="110" t="n"/>
      <c r="J78" s="110" t="n"/>
      <c r="K78" s="110" t="n"/>
      <c r="L78" s="110" t="n"/>
      <c r="M78" s="110" t="n"/>
      <c r="N78" s="110" t="n"/>
    </row>
    <row r="79">
      <c r="A79" s="130" t="inlineStr">
        <is>
          <t>HUMAN CAPITAL</t>
        </is>
      </c>
      <c r="B79" s="131" t="inlineStr">
        <is>
          <t>Roster headcount</t>
        </is>
      </c>
      <c r="C79" s="135" t="n">
        <v>22</v>
      </c>
      <c r="D79" s="135" t="n">
        <v>24</v>
      </c>
      <c r="E79" s="135" t="n">
        <v>26</v>
      </c>
      <c r="F79" s="135" t="n">
        <v>22</v>
      </c>
      <c r="G79" s="135" t="n">
        <v>29</v>
      </c>
      <c r="H79" s="137" t="n">
        <v>29</v>
      </c>
      <c r="I79" s="110" t="n"/>
      <c r="J79" s="110" t="n"/>
      <c r="K79" s="110" t="n"/>
      <c r="L79" s="110" t="n"/>
      <c r="M79" s="110" t="n"/>
      <c r="N79" s="110" t="n"/>
    </row>
    <row r="80">
      <c r="A80" s="130" t="inlineStr">
        <is>
          <t>HUMAN CAPITAL</t>
        </is>
      </c>
      <c r="B80" s="131" t="inlineStr">
        <is>
          <t>Coaching staff payroll</t>
        </is>
      </c>
      <c r="C80" s="175" t="n">
        <v>550000</v>
      </c>
      <c r="D80" s="175" t="n">
        <v>560000</v>
      </c>
      <c r="E80" s="175" t="n">
        <v>580000</v>
      </c>
      <c r="F80" s="175" t="n">
        <v>620000</v>
      </c>
      <c r="G80" s="175" t="n">
        <v>680000</v>
      </c>
      <c r="H80" s="174" t="n">
        <v>710000</v>
      </c>
      <c r="I80" s="110" t="n"/>
      <c r="J80" s="110" t="n"/>
      <c r="K80" s="110" t="n"/>
      <c r="L80" s="110" t="n"/>
      <c r="M80" s="110" t="n"/>
      <c r="N80" s="110" t="n"/>
    </row>
    <row r="81">
      <c r="A81" s="130" t="inlineStr">
        <is>
          <t>HUMAN CAPITAL</t>
        </is>
      </c>
      <c r="B81" s="131" t="inlineStr">
        <is>
          <t>Front office FTE</t>
        </is>
      </c>
      <c r="C81" s="135" t="n">
        <v>42</v>
      </c>
      <c r="D81" s="135" t="n">
        <v>43</v>
      </c>
      <c r="E81" s="135" t="n">
        <v>44</v>
      </c>
      <c r="F81" s="135" t="n">
        <v>45</v>
      </c>
      <c r="G81" s="135" t="n">
        <v>46</v>
      </c>
      <c r="H81" s="137" t="n">
        <v>47</v>
      </c>
      <c r="I81" s="110" t="n"/>
      <c r="J81" s="110" t="n"/>
      <c r="K81" s="110" t="n"/>
      <c r="L81" s="110" t="n"/>
      <c r="M81" s="110" t="n"/>
      <c r="N81" s="110" t="n"/>
    </row>
    <row r="82">
      <c r="A82" s="130" t="inlineStr">
        <is>
          <t>HUMAN CAPITAL</t>
        </is>
      </c>
      <c r="B82" s="131" t="inlineStr">
        <is>
          <t>Medical / training tech spend</t>
        </is>
      </c>
      <c r="C82" s="175" t="n">
        <v>100000</v>
      </c>
      <c r="D82" s="175" t="n">
        <v>110000</v>
      </c>
      <c r="E82" s="175" t="n">
        <v>130000</v>
      </c>
      <c r="F82" s="175" t="n">
        <v>150000</v>
      </c>
      <c r="G82" s="175" t="n">
        <v>175000</v>
      </c>
      <c r="H82" s="174" t="n">
        <v>185000</v>
      </c>
      <c r="I82" s="110" t="n"/>
      <c r="J82" s="110" t="n"/>
      <c r="K82" s="110" t="n"/>
      <c r="L82" s="110" t="n"/>
      <c r="M82" s="110" t="n"/>
      <c r="N82" s="110" t="n"/>
    </row>
    <row r="83">
      <c r="A83" s="130" t="inlineStr">
        <is>
          <t>HUMAN CAPITAL</t>
        </is>
      </c>
      <c r="B83" s="131" t="inlineStr">
        <is>
          <t>Travel logistics ratio (air-heavy)</t>
        </is>
      </c>
      <c r="C83" s="141" t="n">
        <v>0.82</v>
      </c>
      <c r="D83" s="141" t="n">
        <v>0.82</v>
      </c>
      <c r="E83" s="141" t="n">
        <v>0.83</v>
      </c>
      <c r="F83" s="141" t="n">
        <v>0.84</v>
      </c>
      <c r="G83" s="141" t="n">
        <v>0.84</v>
      </c>
      <c r="H83" s="143" t="n">
        <v>0.84</v>
      </c>
      <c r="I83" s="110" t="n"/>
      <c r="J83" s="110" t="n"/>
      <c r="K83" s="110" t="n"/>
      <c r="L83" s="110" t="n"/>
      <c r="M83" s="110" t="n"/>
      <c r="N83" s="110" t="n"/>
    </row>
    <row r="84">
      <c r="A84" s="130" t="inlineStr">
        <is>
          <t>HUMAN CAPITAL</t>
        </is>
      </c>
      <c r="B84" s="131" t="inlineStr">
        <is>
          <t>Player housing spend</t>
        </is>
      </c>
      <c r="C84" s="175" t="n">
        <v>200000</v>
      </c>
      <c r="D84" s="175" t="n">
        <v>210000</v>
      </c>
      <c r="E84" s="175" t="n">
        <v>230000</v>
      </c>
      <c r="F84" s="175" t="n">
        <v>250000</v>
      </c>
      <c r="G84" s="175" t="n">
        <v>280000</v>
      </c>
      <c r="H84" s="174" t="n">
        <v>290000</v>
      </c>
      <c r="I84" s="110" t="n"/>
      <c r="J84" s="110" t="n"/>
      <c r="K84" s="110" t="n"/>
      <c r="L84" s="110" t="n"/>
      <c r="M84" s="110" t="n"/>
      <c r="N84" s="110" t="n"/>
    </row>
    <row r="85">
      <c r="A85" s="130" t="inlineStr">
        <is>
          <t>HUMAN CAPITAL</t>
        </is>
      </c>
      <c r="B85" s="131" t="inlineStr">
        <is>
          <t>AHL-only salary floor</t>
        </is>
      </c>
      <c r="C85" s="175" t="n">
        <v>49000</v>
      </c>
      <c r="D85" s="175" t="n">
        <v>50000</v>
      </c>
      <c r="E85" s="175" t="n">
        <v>51500</v>
      </c>
      <c r="F85" s="175" t="n">
        <v>52725</v>
      </c>
      <c r="G85" s="175" t="n">
        <v>54000</v>
      </c>
      <c r="H85" s="174" t="n">
        <v>55620</v>
      </c>
      <c r="I85" s="110" t="n"/>
      <c r="J85" s="110" t="n"/>
      <c r="K85" s="110" t="n"/>
      <c r="L85" s="110" t="n"/>
      <c r="M85" s="110" t="n"/>
      <c r="N85" s="110" t="n"/>
    </row>
    <row r="86">
      <c r="A86" s="130" t="inlineStr">
        <is>
          <t>HUMAN CAPITAL</t>
        </is>
      </c>
      <c r="B86" s="131" t="inlineStr">
        <is>
          <t>AHL-only average salary</t>
        </is>
      </c>
      <c r="C86" s="175" t="n">
        <v>65000</v>
      </c>
      <c r="D86" s="175" t="n">
        <v>66000</v>
      </c>
      <c r="E86" s="175" t="n">
        <v>70000</v>
      </c>
      <c r="F86" s="175" t="n">
        <v>74000</v>
      </c>
      <c r="G86" s="175" t="n">
        <v>78000</v>
      </c>
      <c r="H86" s="174" t="n">
        <v>80000</v>
      </c>
      <c r="I86" s="110" t="n"/>
      <c r="J86" s="110" t="n"/>
      <c r="K86" s="110" t="n"/>
      <c r="L86" s="110" t="n"/>
      <c r="M86" s="110" t="n"/>
      <c r="N86" s="110" t="n"/>
    </row>
    <row r="87">
      <c r="A87" s="130" t="inlineStr">
        <is>
          <t>HUMAN CAPITAL</t>
        </is>
      </c>
      <c r="B87" s="131" t="inlineStr">
        <is>
          <t>Insurance premiums</t>
        </is>
      </c>
      <c r="C87" s="135" t="n">
        <v>200000</v>
      </c>
      <c r="D87" s="135" t="n">
        <v>210000</v>
      </c>
      <c r="E87" s="135" t="n">
        <v>230000</v>
      </c>
      <c r="F87" s="135" t="n">
        <v>250000</v>
      </c>
      <c r="G87" s="135" t="n">
        <v>270000</v>
      </c>
      <c r="H87" s="137" t="n">
        <v>280000</v>
      </c>
      <c r="I87" s="110" t="n"/>
      <c r="J87" s="110" t="n"/>
      <c r="K87" s="110" t="n"/>
      <c r="L87" s="110" t="n"/>
      <c r="M87" s="110" t="n"/>
      <c r="N87" s="110" t="n"/>
    </row>
    <row r="88">
      <c r="A88" s="130" t="inlineStr">
        <is>
          <t>HUMAN CAPITAL</t>
        </is>
      </c>
      <c r="B88" s="131" t="inlineStr">
        <is>
          <t>Equipment lifecycle cost</t>
        </is>
      </c>
      <c r="C88" s="175" t="n">
        <v>150000</v>
      </c>
      <c r="D88" s="175" t="n">
        <v>155000</v>
      </c>
      <c r="E88" s="175" t="n">
        <v>165000</v>
      </c>
      <c r="F88" s="175" t="n">
        <v>175000</v>
      </c>
      <c r="G88" s="175" t="n">
        <v>190000</v>
      </c>
      <c r="H88" s="174" t="n">
        <v>195000</v>
      </c>
      <c r="I88" s="110" t="n"/>
      <c r="J88" s="110" t="n"/>
      <c r="K88" s="110" t="n"/>
      <c r="L88" s="110" t="n"/>
      <c r="M88" s="110" t="n"/>
      <c r="N88" s="110" t="n"/>
    </row>
    <row r="89">
      <c r="A89" s="130" t="inlineStr">
        <is>
          <t>HUMAN CAPITAL</t>
        </is>
      </c>
      <c r="B89" s="131" t="inlineStr">
        <is>
          <t>Ducks prospects in San Diego</t>
        </is>
      </c>
      <c r="C89" s="135" t="n">
        <v>8</v>
      </c>
      <c r="D89" s="135" t="n">
        <v>8</v>
      </c>
      <c r="E89" s="135" t="n">
        <v>9</v>
      </c>
      <c r="F89" s="135" t="n">
        <v>9</v>
      </c>
      <c r="G89" s="135" t="n">
        <v>15</v>
      </c>
      <c r="H89" s="137" t="n">
        <v>15</v>
      </c>
      <c r="I89" s="110" t="n"/>
      <c r="J89" s="110" t="n"/>
      <c r="K89" s="110" t="n"/>
      <c r="L89" s="110" t="n"/>
      <c r="M89" s="110" t="n"/>
      <c r="N89" s="110" t="n"/>
    </row>
    <row r="90">
      <c r="A90" s="130" t="inlineStr">
        <is>
          <t>OTHER</t>
        </is>
      </c>
      <c r="B90" s="131" t="inlineStr">
        <is>
          <t>NHL parent subsidy</t>
        </is>
      </c>
      <c r="C90" s="175" t="n">
        <v>4200000</v>
      </c>
      <c r="D90" s="175" t="n">
        <v>4300000</v>
      </c>
      <c r="E90" s="175" t="n">
        <v>4400000</v>
      </c>
      <c r="F90" s="175" t="n">
        <v>4500000</v>
      </c>
      <c r="G90" s="175" t="n">
        <v>4700000</v>
      </c>
      <c r="H90" s="174" t="n">
        <v>4900000</v>
      </c>
      <c r="I90" s="110" t="n"/>
      <c r="J90" s="110" t="n"/>
      <c r="K90" s="110" t="n"/>
      <c r="L90" s="110" t="n"/>
      <c r="M90" s="110" t="n"/>
      <c r="N90" s="110" t="n"/>
    </row>
    <row r="91">
      <c r="A91" s="130" t="inlineStr">
        <is>
          <t>OTHER</t>
        </is>
      </c>
      <c r="B91" s="131" t="inlineStr">
        <is>
          <t>Youth hockey / camp revenue</t>
        </is>
      </c>
      <c r="C91" s="175" t="n">
        <v>80000</v>
      </c>
      <c r="D91" s="175" t="n">
        <v>90000</v>
      </c>
      <c r="E91" s="175" t="n">
        <v>100000</v>
      </c>
      <c r="F91" s="175" t="n">
        <v>120000</v>
      </c>
      <c r="G91" s="175" t="n">
        <v>140000</v>
      </c>
      <c r="H91" s="174" t="n">
        <v>160000</v>
      </c>
      <c r="I91" s="110" t="n"/>
      <c r="J91" s="110" t="n"/>
      <c r="K91" s="110" t="n"/>
      <c r="L91" s="110" t="n"/>
      <c r="M91" s="110" t="n"/>
      <c r="N91" s="110" t="n"/>
    </row>
    <row r="92">
      <c r="A92" s="130" t="inlineStr">
        <is>
          <t>OTHER</t>
        </is>
      </c>
      <c r="B92" s="131" t="inlineStr">
        <is>
          <t>Foundation asset base</t>
        </is>
      </c>
      <c r="C92" s="175" t="n">
        <v>200000</v>
      </c>
      <c r="D92" s="175" t="n">
        <v>220000</v>
      </c>
      <c r="E92" s="175" t="n">
        <v>240000</v>
      </c>
      <c r="F92" s="175" t="n">
        <v>260000</v>
      </c>
      <c r="G92" s="175" t="n">
        <v>280000</v>
      </c>
      <c r="H92" s="174" t="n">
        <v>300000</v>
      </c>
      <c r="I92" s="110" t="n"/>
      <c r="J92" s="110" t="n"/>
      <c r="K92" s="110" t="n"/>
      <c r="L92" s="110" t="n"/>
      <c r="M92" s="110" t="n"/>
      <c r="N92" s="110" t="n"/>
    </row>
    <row r="93">
      <c r="A93" s="130" t="inlineStr">
        <is>
          <t>OTHER</t>
        </is>
      </c>
      <c r="B93" s="131" t="inlineStr">
        <is>
          <t>Affiliate synergy value</t>
        </is>
      </c>
      <c r="C93" s="175" t="n">
        <v>650000</v>
      </c>
      <c r="D93" s="175" t="n">
        <v>700000</v>
      </c>
      <c r="E93" s="175" t="n">
        <v>750000</v>
      </c>
      <c r="F93" s="175" t="n">
        <v>800000</v>
      </c>
      <c r="G93" s="175" t="n">
        <v>900000</v>
      </c>
      <c r="H93" s="174" t="n">
        <v>950000</v>
      </c>
      <c r="I93" s="110" t="n"/>
      <c r="J93" s="110" t="n"/>
      <c r="K93" s="110" t="n"/>
      <c r="L93" s="110" t="n"/>
      <c r="M93" s="110" t="n"/>
      <c r="N93" s="110" t="n"/>
    </row>
    <row r="94">
      <c r="A94" s="130" t="inlineStr">
        <is>
          <t>OTHER</t>
        </is>
      </c>
      <c r="B94" s="131" t="inlineStr">
        <is>
          <t>Trademark / brand asset value</t>
        </is>
      </c>
      <c r="C94" s="175" t="n">
        <v>300000</v>
      </c>
      <c r="D94" s="175" t="n">
        <v>325000</v>
      </c>
      <c r="E94" s="175" t="n">
        <v>350000</v>
      </c>
      <c r="F94" s="175" t="n">
        <v>375000</v>
      </c>
      <c r="G94" s="175" t="n">
        <v>425000</v>
      </c>
      <c r="H94" s="174" t="n">
        <v>450000</v>
      </c>
      <c r="I94" s="110" t="n"/>
      <c r="J94" s="110" t="n"/>
      <c r="K94" s="110" t="n"/>
      <c r="L94" s="110" t="n"/>
      <c r="M94" s="110" t="n"/>
      <c r="N94" s="110" t="n"/>
    </row>
    <row r="95">
      <c r="A95" s="130" t="inlineStr">
        <is>
          <t>VALUATION</t>
        </is>
      </c>
      <c r="B95" s="131" t="inlineStr">
        <is>
          <t>Revenue multiple</t>
        </is>
      </c>
      <c r="C95" s="147" t="n">
        <v>3.2</v>
      </c>
      <c r="D95" s="147" t="n">
        <v>3.2</v>
      </c>
      <c r="E95" s="147" t="n">
        <v>3.2</v>
      </c>
      <c r="F95" s="147" t="n">
        <v>3.2</v>
      </c>
      <c r="G95" s="147" t="n">
        <v>3.2</v>
      </c>
      <c r="H95" s="148" t="n">
        <v>3.2</v>
      </c>
      <c r="I95" s="110" t="n"/>
      <c r="J95" s="110" t="n"/>
      <c r="K95" s="110" t="n"/>
      <c r="L95" s="110" t="n"/>
      <c r="M95" s="110" t="n"/>
      <c r="N95" s="110" t="n"/>
    </row>
    <row r="96">
      <c r="A96" s="130" t="inlineStr">
        <is>
          <t>DIGITAL</t>
        </is>
      </c>
      <c r="B96" s="131" t="inlineStr">
        <is>
          <t>Email database value per active subscriber</t>
        </is>
      </c>
      <c r="C96" s="175" t="n">
        <v>5</v>
      </c>
      <c r="D96" s="175" t="n">
        <v>5</v>
      </c>
      <c r="E96" s="175" t="n">
        <v>5</v>
      </c>
      <c r="F96" s="175" t="n">
        <v>5</v>
      </c>
      <c r="G96" s="175" t="n">
        <v>5</v>
      </c>
      <c r="H96" s="174" t="n">
        <v>5</v>
      </c>
      <c r="I96" s="110" t="n"/>
      <c r="J96" s="110" t="n"/>
      <c r="K96" s="110" t="n"/>
      <c r="L96" s="110" t="n"/>
      <c r="M96" s="110" t="n"/>
      <c r="N96" s="110" t="n"/>
    </row>
    <row r="97">
      <c r="A97" s="110" t="n"/>
      <c r="B97" s="110" t="n"/>
      <c r="C97" s="187" t="n"/>
      <c r="D97" s="187" t="n"/>
      <c r="E97" s="187" t="n"/>
      <c r="F97" s="187" t="n"/>
      <c r="G97" s="187" t="n"/>
      <c r="H97" s="187" t="n"/>
      <c r="I97" s="110" t="n"/>
      <c r="J97" s="110" t="n"/>
      <c r="K97" s="110" t="n"/>
      <c r="L97" s="110" t="n"/>
      <c r="M97" s="110" t="n"/>
      <c r="N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94"/>
  <mergeCells count="4">
    <mergeCell ref="A4:D4"/>
    <mergeCell ref="A2:N2"/>
    <mergeCell ref="F4:N4"/>
    <mergeCell ref="A1:N1"/>
  </mergeCells>
  <dataValidations count="1">
    <dataValidation sqref="G6:I13" showDropDown="0" showInputMessage="0" showErrorMessage="0" allowBlank="0" type="decimal" operator="between">
      <formula1>0</formula1>
      <formula2>0.15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1" customWidth="1" min="12" max="12"/>
    <col width="30" customWidth="1" min="13" max="13"/>
    <col width="40" customWidth="1" min="14" max="14"/>
  </cols>
  <sheetData>
    <row r="1">
      <c r="A1" s="1" t="inlineStr">
        <is>
          <t>San Diego Gulls — Forensic Financial, Operational &amp; Marketing Model (FY2021-22 to FY2026-27)</t>
        </is>
      </c>
    </row>
    <row r="2">
      <c r="A2" s="2" t="inlineStr">
        <is>
          <t>Public numbers are linked back to the Assumptions tab. Private figures are explicitly modeled estimates or logical ranges translated into a base-case value.</t>
        </is>
      </c>
    </row>
    <row r="4">
      <c r="A4" s="9" t="inlineStr">
        <is>
          <t>ID</t>
        </is>
      </c>
      <c r="B4" s="9" t="inlineStr">
        <is>
          <t>Group</t>
        </is>
      </c>
      <c r="C4" s="9" t="inlineStr">
        <is>
          <t>Field</t>
        </is>
      </c>
      <c r="D4" s="9" t="inlineStr">
        <is>
          <t>Unit</t>
        </is>
      </c>
      <c r="E4" s="9" t="inlineStr">
        <is>
          <t>2021-22</t>
        </is>
      </c>
      <c r="F4" s="9" t="inlineStr">
        <is>
          <t>2022-23</t>
        </is>
      </c>
      <c r="G4" s="9" t="inlineStr">
        <is>
          <t>2023-24</t>
        </is>
      </c>
      <c r="H4" s="9" t="inlineStr">
        <is>
          <t>2024-25</t>
        </is>
      </c>
      <c r="I4" s="9" t="inlineStr">
        <is>
          <t>2025-26</t>
        </is>
      </c>
      <c r="J4" s="9" t="inlineStr">
        <is>
          <t>2026-27</t>
        </is>
      </c>
      <c r="K4" s="9" t="inlineStr">
        <is>
          <t>Status</t>
        </is>
      </c>
      <c r="L4" s="9" t="inlineStr">
        <is>
          <t>Confidence</t>
        </is>
      </c>
      <c r="M4" s="9" t="inlineStr">
        <is>
          <t>Primary Source / Method</t>
        </is>
      </c>
      <c r="N4" s="9" t="inlineStr">
        <is>
          <t>Notes</t>
        </is>
      </c>
    </row>
    <row r="5">
      <c r="A5" s="34" t="inlineStr">
        <is>
          <t>1. Fan Demand, Schedule &amp; Ticketing</t>
        </is>
      </c>
    </row>
    <row r="6">
      <c r="A6" s="2" t="n">
        <v>1</v>
      </c>
      <c r="B6" s="16" t="inlineStr">
        <is>
          <t>Fan Demand / Ticketing</t>
        </is>
      </c>
      <c r="C6" s="16" t="inlineStr">
        <is>
          <t>Average attendance</t>
        </is>
      </c>
      <c r="D6" s="16" t="inlineStr">
        <is>
          <t>fans/game</t>
        </is>
      </c>
      <c r="E6" s="78">
        <f>Assumptions!C24</f>
        <v/>
      </c>
      <c r="F6" s="78">
        <f>Assumptions!D24</f>
        <v/>
      </c>
      <c r="G6" s="78">
        <f>Assumptions!E24</f>
        <v/>
      </c>
      <c r="H6" s="78">
        <f>Assumptions!F24</f>
        <v/>
      </c>
      <c r="I6" s="78">
        <f>Assumptions!G24</f>
        <v/>
      </c>
      <c r="J6" s="78">
        <f>Assumptions!H24</f>
        <v/>
      </c>
      <c r="K6" s="16" t="inlineStr">
        <is>
          <t>Public input / projection</t>
        </is>
      </c>
      <c r="L6" s="16" t="inlineStr">
        <is>
          <t>High</t>
        </is>
      </c>
      <c r="M6" s="16" t="inlineStr">
        <is>
          <t>HockeyDB / official schedule</t>
        </is>
      </c>
      <c r="N6" s="36" t="inlineStr">
        <is>
          <t>2026-27 baseline projected from 2025-26 using control.</t>
        </is>
      </c>
    </row>
    <row r="7">
      <c r="A7" s="2" t="n">
        <v>2</v>
      </c>
      <c r="B7" s="16" t="inlineStr">
        <is>
          <t>Fan Demand / Ticketing</t>
        </is>
      </c>
      <c r="C7" s="16" t="inlineStr">
        <is>
          <t>Home games</t>
        </is>
      </c>
      <c r="D7" s="16" t="inlineStr">
        <is>
          <t>games</t>
        </is>
      </c>
      <c r="E7" s="78">
        <f>Assumptions!C25</f>
        <v/>
      </c>
      <c r="F7" s="78">
        <f>Assumptions!D25</f>
        <v/>
      </c>
      <c r="G7" s="78">
        <f>Assumptions!E25</f>
        <v/>
      </c>
      <c r="H7" s="78">
        <f>Assumptions!F25</f>
        <v/>
      </c>
      <c r="I7" s="78">
        <f>Assumptions!G25</f>
        <v/>
      </c>
      <c r="J7" s="78">
        <f>Assumptions!H25</f>
        <v/>
      </c>
      <c r="K7" s="16" t="inlineStr">
        <is>
          <t>Public input</t>
        </is>
      </c>
      <c r="L7" s="16" t="inlineStr">
        <is>
          <t>High</t>
        </is>
      </c>
      <c r="M7" s="16" t="inlineStr">
        <is>
          <t>Official schedules</t>
        </is>
      </c>
      <c r="N7" s="36" t="inlineStr">
        <is>
          <t>2021-22 was 34 home games; subsequent seasons 36.</t>
        </is>
      </c>
    </row>
    <row r="8">
      <c r="A8" s="2" t="n">
        <v>3</v>
      </c>
      <c r="B8" s="16" t="inlineStr">
        <is>
          <t>Fan Demand / Ticketing</t>
        </is>
      </c>
      <c r="C8" s="16" t="inlineStr">
        <is>
          <t>Total home attendance</t>
        </is>
      </c>
      <c r="D8" s="16" t="inlineStr">
        <is>
          <t>fans</t>
        </is>
      </c>
      <c r="E8" s="75">
        <f>E6*E7</f>
        <v/>
      </c>
      <c r="F8" s="75">
        <f>F6*F7</f>
        <v/>
      </c>
      <c r="G8" s="75">
        <f>G6*G7</f>
        <v/>
      </c>
      <c r="H8" s="75">
        <f>H6*H7</f>
        <v/>
      </c>
      <c r="I8" s="75">
        <f>I6*I7</f>
        <v/>
      </c>
      <c r="J8" s="75">
        <f>J6*J7</f>
        <v/>
      </c>
      <c r="K8" s="16" t="inlineStr">
        <is>
          <t>Derived</t>
        </is>
      </c>
      <c r="L8" s="16" t="inlineStr">
        <is>
          <t>High</t>
        </is>
      </c>
      <c r="M8" s="16" t="inlineStr">
        <is>
          <t>Attendance × home games</t>
        </is>
      </c>
      <c r="N8" s="36" t="inlineStr">
        <is>
          <t>Average attendance multiplied by home games.</t>
        </is>
      </c>
    </row>
    <row r="9">
      <c r="A9" s="2" t="n">
        <v>4</v>
      </c>
      <c r="B9" s="16" t="inlineStr">
        <is>
          <t>Fan Demand / Ticketing</t>
        </is>
      </c>
      <c r="C9" s="16" t="inlineStr">
        <is>
          <t>Home weekend dates</t>
        </is>
      </c>
      <c r="D9" s="16" t="inlineStr">
        <is>
          <t>dates</t>
        </is>
      </c>
      <c r="E9" s="78">
        <f>Assumptions!C28</f>
        <v/>
      </c>
      <c r="F9" s="78">
        <f>Assumptions!D28</f>
        <v/>
      </c>
      <c r="G9" s="78">
        <f>Assumptions!E28</f>
        <v/>
      </c>
      <c r="H9" s="78">
        <f>Assumptions!F28</f>
        <v/>
      </c>
      <c r="I9" s="78">
        <f>Assumptions!G28</f>
        <v/>
      </c>
      <c r="J9" s="78">
        <f>Assumptions!H28</f>
        <v/>
      </c>
      <c r="K9" s="16" t="inlineStr">
        <is>
          <t>Public input</t>
        </is>
      </c>
      <c r="L9" s="16" t="inlineStr">
        <is>
          <t>High</t>
        </is>
      </c>
      <c r="M9" s="16" t="inlineStr">
        <is>
          <t>Official schedules</t>
        </is>
      </c>
      <c r="N9" s="36" t="inlineStr">
        <is>
          <t>Official yearly schedule releases.</t>
        </is>
      </c>
    </row>
    <row r="10">
      <c r="A10" s="2" t="n">
        <v>5</v>
      </c>
      <c r="B10" s="16" t="inlineStr">
        <is>
          <t>Fan Demand / Ticketing</t>
        </is>
      </c>
      <c r="C10" s="16" t="inlineStr">
        <is>
          <t>Friday home games</t>
        </is>
      </c>
      <c r="D10" s="16" t="inlineStr">
        <is>
          <t>games</t>
        </is>
      </c>
      <c r="E10" s="78">
        <f>Assumptions!C29</f>
        <v/>
      </c>
      <c r="F10" s="78">
        <f>Assumptions!D29</f>
        <v/>
      </c>
      <c r="G10" s="78">
        <f>Assumptions!E29</f>
        <v/>
      </c>
      <c r="H10" s="78">
        <f>Assumptions!F29</f>
        <v/>
      </c>
      <c r="I10" s="78">
        <f>Assumptions!G29</f>
        <v/>
      </c>
      <c r="J10" s="78">
        <f>Assumptions!H29</f>
        <v/>
      </c>
      <c r="K10" s="16" t="inlineStr">
        <is>
          <t>Public input</t>
        </is>
      </c>
      <c r="L10" s="16" t="inlineStr">
        <is>
          <t>High</t>
        </is>
      </c>
      <c r="M10" s="16" t="inlineStr">
        <is>
          <t>Official schedules</t>
        </is>
      </c>
      <c r="N10" s="36" t="inlineStr">
        <is>
          <t>Official yearly schedule releases.</t>
        </is>
      </c>
    </row>
    <row r="11">
      <c r="A11" s="2" t="n">
        <v>6</v>
      </c>
      <c r="B11" s="16" t="inlineStr">
        <is>
          <t>Fan Demand / Ticketing</t>
        </is>
      </c>
      <c r="C11" s="16" t="inlineStr">
        <is>
          <t>Saturday home games</t>
        </is>
      </c>
      <c r="D11" s="16" t="inlineStr">
        <is>
          <t>games</t>
        </is>
      </c>
      <c r="E11" s="78">
        <f>Assumptions!C30</f>
        <v/>
      </c>
      <c r="F11" s="78">
        <f>Assumptions!D30</f>
        <v/>
      </c>
      <c r="G11" s="78">
        <f>Assumptions!E30</f>
        <v/>
      </c>
      <c r="H11" s="78">
        <f>Assumptions!F30</f>
        <v/>
      </c>
      <c r="I11" s="78">
        <f>Assumptions!G30</f>
        <v/>
      </c>
      <c r="J11" s="78">
        <f>Assumptions!H30</f>
        <v/>
      </c>
      <c r="K11" s="16" t="inlineStr">
        <is>
          <t>Public input / projection</t>
        </is>
      </c>
      <c r="L11" s="16" t="inlineStr">
        <is>
          <t>High</t>
        </is>
      </c>
      <c r="M11" s="16" t="inlineStr">
        <is>
          <t>Official schedules</t>
        </is>
      </c>
      <c r="N11" s="36" t="inlineStr">
        <is>
          <t>2026-27 baseline projected mix.</t>
        </is>
      </c>
    </row>
    <row r="12">
      <c r="A12" s="2" t="n">
        <v>7</v>
      </c>
      <c r="B12" s="16" t="inlineStr">
        <is>
          <t>Fan Demand / Ticketing</t>
        </is>
      </c>
      <c r="C12" s="16" t="inlineStr">
        <is>
          <t>Sunday home games</t>
        </is>
      </c>
      <c r="D12" s="16" t="inlineStr">
        <is>
          <t>games</t>
        </is>
      </c>
      <c r="E12" s="78">
        <f>Assumptions!C31</f>
        <v/>
      </c>
      <c r="F12" s="78">
        <f>Assumptions!D31</f>
        <v/>
      </c>
      <c r="G12" s="78">
        <f>Assumptions!E31</f>
        <v/>
      </c>
      <c r="H12" s="78">
        <f>Assumptions!F31</f>
        <v/>
      </c>
      <c r="I12" s="78">
        <f>Assumptions!G31</f>
        <v/>
      </c>
      <c r="J12" s="78">
        <f>Assumptions!H31</f>
        <v/>
      </c>
      <c r="K12" s="16" t="inlineStr">
        <is>
          <t>Public input / projection</t>
        </is>
      </c>
      <c r="L12" s="16" t="inlineStr">
        <is>
          <t>High</t>
        </is>
      </c>
      <c r="M12" s="16" t="inlineStr">
        <is>
          <t>Official schedules</t>
        </is>
      </c>
      <c r="N12" s="36" t="inlineStr">
        <is>
          <t>2026-27 baseline projected mix.</t>
        </is>
      </c>
    </row>
    <row r="13">
      <c r="A13" s="2" t="n">
        <v>8</v>
      </c>
      <c r="B13" s="16" t="inlineStr">
        <is>
          <t>Fan Demand / Ticketing</t>
        </is>
      </c>
      <c r="C13" s="16" t="inlineStr">
        <is>
          <t>Back-to-back sets</t>
        </is>
      </c>
      <c r="D13" s="16" t="inlineStr">
        <is>
          <t>sets</t>
        </is>
      </c>
      <c r="E13" s="78">
        <f>Assumptions!C32</f>
        <v/>
      </c>
      <c r="F13" s="78">
        <f>Assumptions!D32</f>
        <v/>
      </c>
      <c r="G13" s="78">
        <f>Assumptions!E32</f>
        <v/>
      </c>
      <c r="H13" s="78">
        <f>Assumptions!F32</f>
        <v/>
      </c>
      <c r="I13" s="78">
        <f>Assumptions!G32</f>
        <v/>
      </c>
      <c r="J13" s="78">
        <f>Assumptions!H32</f>
        <v/>
      </c>
      <c r="K13" s="16" t="inlineStr">
        <is>
          <t>Public input</t>
        </is>
      </c>
      <c r="L13" s="16" t="inlineStr">
        <is>
          <t>High</t>
        </is>
      </c>
      <c r="M13" s="16" t="inlineStr">
        <is>
          <t>Official schedules</t>
        </is>
      </c>
      <c r="N13" s="36" t="inlineStr">
        <is>
          <t>Official yearly schedule releases.</t>
        </is>
      </c>
    </row>
    <row r="14">
      <c r="A14" s="2" t="n">
        <v>9</v>
      </c>
      <c r="B14" s="16" t="inlineStr">
        <is>
          <t>Fan Demand / Ticketing</t>
        </is>
      </c>
      <c r="C14" s="16" t="inlineStr">
        <is>
          <t>Promotional / theme nights</t>
        </is>
      </c>
      <c r="D14" s="16" t="inlineStr">
        <is>
          <t>nights</t>
        </is>
      </c>
      <c r="E14" s="78">
        <f>Assumptions!C33</f>
        <v/>
      </c>
      <c r="F14" s="78">
        <f>Assumptions!D33</f>
        <v/>
      </c>
      <c r="G14" s="78">
        <f>Assumptions!E33</f>
        <v/>
      </c>
      <c r="H14" s="78">
        <f>Assumptions!F33</f>
        <v/>
      </c>
      <c r="I14" s="78">
        <f>Assumptions!G33</f>
        <v/>
      </c>
      <c r="J14" s="78">
        <f>Assumptions!H33</f>
        <v/>
      </c>
      <c r="K14" s="16" t="inlineStr">
        <is>
          <t>Public input / projection</t>
        </is>
      </c>
      <c r="L14" s="16" t="inlineStr">
        <is>
          <t>High</t>
        </is>
      </c>
      <c r="M14" s="16" t="inlineStr">
        <is>
          <t>Official promo releases</t>
        </is>
      </c>
      <c r="N14" s="36" t="inlineStr">
        <is>
          <t>2025-26 includes 8 anniversary nights + 20 additional promotional nights.</t>
        </is>
      </c>
    </row>
    <row r="15">
      <c r="A15" s="2" t="n">
        <v>10</v>
      </c>
      <c r="B15" s="16" t="inlineStr">
        <is>
          <t>Fan Demand / Ticketing</t>
        </is>
      </c>
      <c r="C15" s="16" t="inlineStr">
        <is>
          <t>Giveaway items</t>
        </is>
      </c>
      <c r="D15" s="16" t="inlineStr">
        <is>
          <t>items</t>
        </is>
      </c>
      <c r="E15" s="78">
        <f>Assumptions!C34</f>
        <v/>
      </c>
      <c r="F15" s="78">
        <f>Assumptions!D34</f>
        <v/>
      </c>
      <c r="G15" s="78">
        <f>Assumptions!E34</f>
        <v/>
      </c>
      <c r="H15" s="78">
        <f>Assumptions!F34</f>
        <v/>
      </c>
      <c r="I15" s="78">
        <f>Assumptions!G34</f>
        <v/>
      </c>
      <c r="J15" s="78">
        <f>Assumptions!H34</f>
        <v/>
      </c>
      <c r="K15" s="16" t="inlineStr">
        <is>
          <t>Public input / projection</t>
        </is>
      </c>
      <c r="L15" s="16" t="inlineStr">
        <is>
          <t>Medium</t>
        </is>
      </c>
      <c r="M15" s="16" t="inlineStr">
        <is>
          <t>Official promo releases</t>
        </is>
      </c>
      <c r="N15" s="36" t="inlineStr">
        <is>
          <t>2025-26 current public list includes five announced giveaways.</t>
        </is>
      </c>
    </row>
    <row r="16">
      <c r="A16" s="2" t="n">
        <v>11</v>
      </c>
      <c r="B16" s="16" t="inlineStr">
        <is>
          <t>Fan Demand / Ticketing</t>
        </is>
      </c>
      <c r="C16" s="16" t="inlineStr">
        <is>
          <t>Pregame tailgates</t>
        </is>
      </c>
      <c r="D16" s="16" t="inlineStr">
        <is>
          <t>events</t>
        </is>
      </c>
      <c r="E16" s="78">
        <f>Assumptions!C35</f>
        <v/>
      </c>
      <c r="F16" s="78">
        <f>Assumptions!D35</f>
        <v/>
      </c>
      <c r="G16" s="78">
        <f>Assumptions!E35</f>
        <v/>
      </c>
      <c r="H16" s="78">
        <f>Assumptions!F35</f>
        <v/>
      </c>
      <c r="I16" s="78">
        <f>Assumptions!G35</f>
        <v/>
      </c>
      <c r="J16" s="78">
        <f>Assumptions!H35</f>
        <v/>
      </c>
      <c r="K16" s="16" t="inlineStr">
        <is>
          <t>Public input / projection</t>
        </is>
      </c>
      <c r="L16" s="16" t="inlineStr">
        <is>
          <t>Medium</t>
        </is>
      </c>
      <c r="M16" s="16" t="inlineStr">
        <is>
          <t>Official promo releases</t>
        </is>
      </c>
      <c r="N16" s="36" t="inlineStr">
        <is>
          <t>Counted / projected from public promo schedules.</t>
        </is>
      </c>
    </row>
    <row r="17">
      <c r="A17" s="2" t="n">
        <v>12</v>
      </c>
      <c r="B17" s="16" t="inlineStr">
        <is>
          <t>Fan Demand / Ticketing</t>
        </is>
      </c>
      <c r="C17" s="16" t="inlineStr">
        <is>
          <t>STM entry price</t>
        </is>
      </c>
      <c r="D17" s="16" t="inlineStr">
        <is>
          <t>$</t>
        </is>
      </c>
      <c r="E17" s="79">
        <f>Assumptions!C36</f>
        <v/>
      </c>
      <c r="F17" s="79">
        <f>Assumptions!D36</f>
        <v/>
      </c>
      <c r="G17" s="79">
        <f>Assumptions!E36</f>
        <v/>
      </c>
      <c r="H17" s="79">
        <f>Assumptions!F36</f>
        <v/>
      </c>
      <c r="I17" s="79">
        <f>Assumptions!G36</f>
        <v/>
      </c>
      <c r="J17" s="79">
        <f>Assumptions!H36</f>
        <v/>
      </c>
      <c r="K17" s="16" t="inlineStr">
        <is>
          <t>Public input / projection</t>
        </is>
      </c>
      <c r="L17" s="16" t="inlineStr">
        <is>
          <t>High</t>
        </is>
      </c>
      <c r="M17" s="16" t="inlineStr">
        <is>
          <t>Official ticketing releases</t>
        </is>
      </c>
      <c r="N17" s="36" t="inlineStr">
        <is>
          <t>Gulls Elite floor price.</t>
        </is>
      </c>
    </row>
    <row r="18">
      <c r="A18" s="2" t="n">
        <v>13</v>
      </c>
      <c r="B18" s="16" t="inlineStr">
        <is>
          <t>Fan Demand / Ticketing</t>
        </is>
      </c>
      <c r="C18" s="16" t="inlineStr">
        <is>
          <t>STM entry price per game</t>
        </is>
      </c>
      <c r="D18" s="16" t="inlineStr">
        <is>
          <t>$</t>
        </is>
      </c>
      <c r="E18" s="80">
        <f>IFERROR(E17/E7,0)</f>
        <v/>
      </c>
      <c r="F18" s="80">
        <f>IFERROR(F17/F7,0)</f>
        <v/>
      </c>
      <c r="G18" s="80">
        <f>IFERROR(G17/G7,0)</f>
        <v/>
      </c>
      <c r="H18" s="80">
        <f>IFERROR(H17/H7,0)</f>
        <v/>
      </c>
      <c r="I18" s="80">
        <f>IFERROR(I17/I7,0)</f>
        <v/>
      </c>
      <c r="J18" s="80">
        <f>IFERROR(J17/J7,0)</f>
        <v/>
      </c>
      <c r="K18" s="16" t="inlineStr">
        <is>
          <t>Derived</t>
        </is>
      </c>
      <c r="L18" s="16" t="inlineStr">
        <is>
          <t>High</t>
        </is>
      </c>
      <c r="M18" s="16" t="inlineStr">
        <is>
          <t>STM entry price ÷ home games</t>
        </is>
      </c>
      <c r="N18" s="36" t="inlineStr">
        <is>
          <t>Season-ticket floor divided by home games.</t>
        </is>
      </c>
    </row>
    <row r="19">
      <c r="A19" s="2" t="n">
        <v>14</v>
      </c>
      <c r="B19" s="16" t="inlineStr">
        <is>
          <t>Fan Demand / Ticketing</t>
        </is>
      </c>
      <c r="C19" s="16" t="inlineStr">
        <is>
          <t>Single-game floor (box office / public)</t>
        </is>
      </c>
      <c r="D19" s="16" t="inlineStr">
        <is>
          <t>$</t>
        </is>
      </c>
      <c r="E19" s="79">
        <f>Assumptions!C37</f>
        <v/>
      </c>
      <c r="F19" s="79">
        <f>Assumptions!D37</f>
        <v/>
      </c>
      <c r="G19" s="79">
        <f>Assumptions!E37</f>
        <v/>
      </c>
      <c r="H19" s="79">
        <f>Assumptions!F37</f>
        <v/>
      </c>
      <c r="I19" s="79">
        <f>Assumptions!G37</f>
        <v/>
      </c>
      <c r="J19" s="79">
        <f>Assumptions!H37</f>
        <v/>
      </c>
      <c r="K19" s="16" t="inlineStr">
        <is>
          <t>Public input / estimate / projection</t>
        </is>
      </c>
      <c r="L19" s="16" t="inlineStr">
        <is>
          <t>Medium</t>
        </is>
      </c>
      <c r="M19" s="16" t="inlineStr">
        <is>
          <t>Official ticketing releases</t>
        </is>
      </c>
      <c r="N19" s="36" t="inlineStr">
        <is>
          <t>2024-25 floor is interpolated estimate.</t>
        </is>
      </c>
    </row>
    <row r="20">
      <c r="A20" s="2" t="n">
        <v>15</v>
      </c>
      <c r="B20" s="16" t="inlineStr">
        <is>
          <t>Fan Demand / Ticketing</t>
        </is>
      </c>
      <c r="C20" s="16" t="inlineStr">
        <is>
          <t>Single-game floor (online incl. fees)</t>
        </is>
      </c>
      <c r="D20" s="16" t="inlineStr">
        <is>
          <t>$</t>
        </is>
      </c>
      <c r="E20" s="79">
        <f>Assumptions!C38</f>
        <v/>
      </c>
      <c r="F20" s="79">
        <f>Assumptions!D38</f>
        <v/>
      </c>
      <c r="G20" s="79">
        <f>Assumptions!E38</f>
        <v/>
      </c>
      <c r="H20" s="79">
        <f>Assumptions!F38</f>
        <v/>
      </c>
      <c r="I20" s="79">
        <f>Assumptions!G38</f>
        <v/>
      </c>
      <c r="J20" s="79">
        <f>Assumptions!H38</f>
        <v/>
      </c>
      <c r="K20" s="16" t="inlineStr">
        <is>
          <t>Estimate / projection</t>
        </is>
      </c>
      <c r="L20" s="16" t="inlineStr">
        <is>
          <t>Medium</t>
        </is>
      </c>
      <c r="M20" s="16" t="inlineStr">
        <is>
          <t>Official 2025-26 ticketing release</t>
        </is>
      </c>
      <c r="N20" s="36" t="inlineStr">
        <is>
          <t>2025-26 is official; 2024-25 and 2026-27 are modeled estimates.</t>
        </is>
      </c>
    </row>
    <row r="21">
      <c r="A21" s="2" t="n">
        <v>16</v>
      </c>
      <c r="B21" s="16" t="inlineStr">
        <is>
          <t>Fan Demand / Ticketing</t>
        </is>
      </c>
      <c r="C21" s="16" t="inlineStr">
        <is>
          <t>College ticket price</t>
        </is>
      </c>
      <c r="D21" s="16" t="inlineStr">
        <is>
          <t>$</t>
        </is>
      </c>
      <c r="E21" s="79">
        <f>Assumptions!C39</f>
        <v/>
      </c>
      <c r="F21" s="79">
        <f>Assumptions!D39</f>
        <v/>
      </c>
      <c r="G21" s="79">
        <f>Assumptions!E39</f>
        <v/>
      </c>
      <c r="H21" s="79">
        <f>Assumptions!F39</f>
        <v/>
      </c>
      <c r="I21" s="79">
        <f>Assumptions!G39</f>
        <v/>
      </c>
      <c r="J21" s="79">
        <f>Assumptions!H39</f>
        <v/>
      </c>
      <c r="K21" s="16" t="inlineStr">
        <is>
          <t>Public input / projection</t>
        </is>
      </c>
      <c r="L21" s="16" t="inlineStr">
        <is>
          <t>Medium</t>
        </is>
      </c>
      <c r="M21" s="16" t="inlineStr">
        <is>
          <t>Official college page</t>
        </is>
      </c>
      <c r="N21" s="36" t="inlineStr">
        <is>
          <t>Current season official price.</t>
        </is>
      </c>
    </row>
    <row r="22">
      <c r="A22" s="2" t="n">
        <v>17</v>
      </c>
      <c r="B22" s="16" t="inlineStr">
        <is>
          <t>Fan Demand / Ticketing</t>
        </is>
      </c>
      <c r="C22" s="16" t="inlineStr">
        <is>
          <t>Family pack price floor</t>
        </is>
      </c>
      <c r="D22" s="16" t="inlineStr">
        <is>
          <t>$</t>
        </is>
      </c>
      <c r="E22" s="79">
        <f>Assumptions!C40</f>
        <v/>
      </c>
      <c r="F22" s="79">
        <f>Assumptions!D40</f>
        <v/>
      </c>
      <c r="G22" s="79">
        <f>Assumptions!E40</f>
        <v/>
      </c>
      <c r="H22" s="79">
        <f>Assumptions!F40</f>
        <v/>
      </c>
      <c r="I22" s="79">
        <f>Assumptions!G40</f>
        <v/>
      </c>
      <c r="J22" s="79">
        <f>Assumptions!H40</f>
        <v/>
      </c>
      <c r="K22" s="16" t="inlineStr">
        <is>
          <t>Public input / projection</t>
        </is>
      </c>
      <c r="L22" s="16" t="inlineStr">
        <is>
          <t>Medium</t>
        </is>
      </c>
      <c r="M22" s="16" t="inlineStr">
        <is>
          <t>Official family-pack page</t>
        </is>
      </c>
      <c r="N22" s="36" t="inlineStr">
        <is>
          <t>Current-season official product.</t>
        </is>
      </c>
    </row>
    <row r="23">
      <c r="A23" s="2" t="n">
        <v>18</v>
      </c>
      <c r="B23" s="16" t="inlineStr">
        <is>
          <t>Fan Demand / Ticketing</t>
        </is>
      </c>
      <c r="C23" s="16" t="inlineStr">
        <is>
          <t>Group minimum size</t>
        </is>
      </c>
      <c r="D23" s="16" t="inlineStr">
        <is>
          <t>tickets</t>
        </is>
      </c>
      <c r="E23" s="78">
        <f>Assumptions!C41</f>
        <v/>
      </c>
      <c r="F23" s="78">
        <f>Assumptions!D41</f>
        <v/>
      </c>
      <c r="G23" s="78">
        <f>Assumptions!E41</f>
        <v/>
      </c>
      <c r="H23" s="78">
        <f>Assumptions!F41</f>
        <v/>
      </c>
      <c r="I23" s="78">
        <f>Assumptions!G41</f>
        <v/>
      </c>
      <c r="J23" s="78">
        <f>Assumptions!H41</f>
        <v/>
      </c>
      <c r="K23" s="16" t="inlineStr">
        <is>
          <t>Public / context</t>
        </is>
      </c>
      <c r="L23" s="16" t="inlineStr">
        <is>
          <t>Medium</t>
        </is>
      </c>
      <c r="M23" s="16" t="inlineStr">
        <is>
          <t>Official group page</t>
        </is>
      </c>
      <c r="N23" s="36" t="inlineStr">
        <is>
          <t>Assumed stable historically.</t>
        </is>
      </c>
    </row>
    <row r="24">
      <c r="A24" s="2" t="n">
        <v>19</v>
      </c>
      <c r="B24" s="16" t="inlineStr">
        <is>
          <t>Fan Demand / Ticketing</t>
        </is>
      </c>
      <c r="C24" s="16" t="inlineStr">
        <is>
          <t>Max mini-plan discount</t>
        </is>
      </c>
      <c r="D24" s="16" t="inlineStr">
        <is>
          <t>pct</t>
        </is>
      </c>
      <c r="E24" s="81">
        <f>Assumptions!C42</f>
        <v/>
      </c>
      <c r="F24" s="81">
        <f>Assumptions!D42</f>
        <v/>
      </c>
      <c r="G24" s="81">
        <f>Assumptions!E42</f>
        <v/>
      </c>
      <c r="H24" s="81">
        <f>Assumptions!F42</f>
        <v/>
      </c>
      <c r="I24" s="81">
        <f>Assumptions!G42</f>
        <v/>
      </c>
      <c r="J24" s="81">
        <f>Assumptions!H42</f>
        <v/>
      </c>
      <c r="K24" s="16" t="inlineStr">
        <is>
          <t>Estimate / projection</t>
        </is>
      </c>
      <c r="L24" s="16" t="inlineStr">
        <is>
          <t>Low</t>
        </is>
      </c>
      <c r="M24" s="16" t="inlineStr">
        <is>
          <t>Public current mini-plan page</t>
        </is>
      </c>
      <c r="N24" s="36" t="inlineStr">
        <is>
          <t>Historical values are conservative placeholders.</t>
        </is>
      </c>
    </row>
    <row r="25">
      <c r="A25" s="2" t="n">
        <v>20</v>
      </c>
      <c r="B25" s="16" t="inlineStr">
        <is>
          <t>Fan Demand / Ticketing</t>
        </is>
      </c>
      <c r="C25" s="16" t="inlineStr">
        <is>
          <t>Weighted average ticket price (modeled)</t>
        </is>
      </c>
      <c r="D25" s="16" t="inlineStr">
        <is>
          <t>$</t>
        </is>
      </c>
      <c r="E25" s="79">
        <f>Assumptions!C43</f>
        <v/>
      </c>
      <c r="F25" s="79">
        <f>Assumptions!D43</f>
        <v/>
      </c>
      <c r="G25" s="79">
        <f>Assumptions!E43</f>
        <v/>
      </c>
      <c r="H25" s="79">
        <f>Assumptions!F43</f>
        <v/>
      </c>
      <c r="I25" s="79">
        <f>Assumptions!G43</f>
        <v/>
      </c>
      <c r="J25" s="79">
        <f>Assumptions!H43</f>
        <v/>
      </c>
      <c r="K25" s="16" t="inlineStr">
        <is>
          <t>Estimate / projection</t>
        </is>
      </c>
      <c r="L25" s="16" t="inlineStr">
        <is>
          <t>Medium</t>
        </is>
      </c>
      <c r="M25" s="16" t="inlineStr">
        <is>
          <t>Model methodology</t>
        </is>
      </c>
      <c r="N25" s="36" t="inlineStr">
        <is>
          <t>Modeled from ticket product mix and public price anchors.</t>
        </is>
      </c>
    </row>
    <row r="26">
      <c r="A26" s="2" t="n">
        <v>21</v>
      </c>
      <c r="B26" s="16" t="inlineStr">
        <is>
          <t>Fan Demand / Ticketing</t>
        </is>
      </c>
      <c r="C26" s="16" t="inlineStr">
        <is>
          <t>Group sales share of gate</t>
        </is>
      </c>
      <c r="D26" s="16" t="inlineStr">
        <is>
          <t>pct</t>
        </is>
      </c>
      <c r="E26" s="81">
        <f>Assumptions!C44</f>
        <v/>
      </c>
      <c r="F26" s="81">
        <f>Assumptions!D44</f>
        <v/>
      </c>
      <c r="G26" s="81">
        <f>Assumptions!E44</f>
        <v/>
      </c>
      <c r="H26" s="81">
        <f>Assumptions!F44</f>
        <v/>
      </c>
      <c r="I26" s="81">
        <f>Assumptions!G44</f>
        <v/>
      </c>
      <c r="J26" s="81">
        <f>Assumptions!H44</f>
        <v/>
      </c>
      <c r="K26" s="16" t="inlineStr">
        <is>
          <t>Estimate / projection</t>
        </is>
      </c>
      <c r="L26" s="16" t="inlineStr">
        <is>
          <t>Low</t>
        </is>
      </c>
      <c r="M26" s="16" t="inlineStr">
        <is>
          <t>Model methodology</t>
        </is>
      </c>
      <c r="N26" s="36" t="inlineStr">
        <is>
          <t>Logical range based on minor-league group channel importance.</t>
        </is>
      </c>
    </row>
    <row r="27">
      <c r="A27" s="2" t="n">
        <v>22</v>
      </c>
      <c r="B27" s="16" t="inlineStr">
        <is>
          <t>Fan Demand / Ticketing</t>
        </is>
      </c>
      <c r="C27" s="16" t="inlineStr">
        <is>
          <t>Premium seating yield</t>
        </is>
      </c>
      <c r="D27" s="16" t="inlineStr">
        <is>
          <t>$</t>
        </is>
      </c>
      <c r="E27" s="79">
        <f>Assumptions!C45</f>
        <v/>
      </c>
      <c r="F27" s="79">
        <f>Assumptions!D45</f>
        <v/>
      </c>
      <c r="G27" s="79">
        <f>Assumptions!E45</f>
        <v/>
      </c>
      <c r="H27" s="79">
        <f>Assumptions!F45</f>
        <v/>
      </c>
      <c r="I27" s="79">
        <f>Assumptions!G45</f>
        <v/>
      </c>
      <c r="J27" s="79">
        <f>Assumptions!H45</f>
        <v/>
      </c>
      <c r="K27" s="16" t="inlineStr">
        <is>
          <t>Estimate / projection</t>
        </is>
      </c>
      <c r="L27" s="16" t="inlineStr">
        <is>
          <t>Low</t>
        </is>
      </c>
      <c r="M27" s="16" t="inlineStr">
        <is>
          <t>Model methodology</t>
        </is>
      </c>
      <c r="N27" s="36" t="inlineStr">
        <is>
          <t>Embedded within gate yield; not additive in revenue total.</t>
        </is>
      </c>
    </row>
    <row r="28">
      <c r="A28" s="2" t="n">
        <v>23</v>
      </c>
      <c r="B28" s="16" t="inlineStr">
        <is>
          <t>Fan Demand / Ticketing</t>
        </is>
      </c>
      <c r="C28" s="16" t="inlineStr">
        <is>
          <t>STM base (FSE)</t>
        </is>
      </c>
      <c r="D28" s="16" t="inlineStr">
        <is>
          <t>FSE</t>
        </is>
      </c>
      <c r="E28" s="78">
        <f>Assumptions!C46</f>
        <v/>
      </c>
      <c r="F28" s="78">
        <f>Assumptions!D46</f>
        <v/>
      </c>
      <c r="G28" s="78">
        <f>Assumptions!E46</f>
        <v/>
      </c>
      <c r="H28" s="78">
        <f>Assumptions!F46</f>
        <v/>
      </c>
      <c r="I28" s="78">
        <f>Assumptions!G46</f>
        <v/>
      </c>
      <c r="J28" s="78">
        <f>Assumptions!H46</f>
        <v/>
      </c>
      <c r="K28" s="16" t="inlineStr">
        <is>
          <t>Estimate / projection</t>
        </is>
      </c>
      <c r="L28" s="16" t="inlineStr">
        <is>
          <t>Low</t>
        </is>
      </c>
      <c r="M28" s="16" t="inlineStr">
        <is>
          <t>Model methodology</t>
        </is>
      </c>
      <c r="N28" s="36" t="inlineStr">
        <is>
          <t>Modeled from attendance and ticket mix.</t>
        </is>
      </c>
    </row>
    <row r="29">
      <c r="A29" s="2" t="n">
        <v>24</v>
      </c>
      <c r="B29" s="16" t="inlineStr">
        <is>
          <t>Fan Demand / Ticketing</t>
        </is>
      </c>
      <c r="C29" s="16" t="inlineStr">
        <is>
          <t>STM retention rate</t>
        </is>
      </c>
      <c r="D29" s="16" t="inlineStr">
        <is>
          <t>pct</t>
        </is>
      </c>
      <c r="E29" s="81">
        <f>Assumptions!C47</f>
        <v/>
      </c>
      <c r="F29" s="81">
        <f>Assumptions!D47</f>
        <v/>
      </c>
      <c r="G29" s="81">
        <f>Assumptions!E47</f>
        <v/>
      </c>
      <c r="H29" s="81">
        <f>Assumptions!F47</f>
        <v/>
      </c>
      <c r="I29" s="81">
        <f>Assumptions!G47</f>
        <v/>
      </c>
      <c r="J29" s="81">
        <f>Assumptions!H47</f>
        <v/>
      </c>
      <c r="K29" s="16" t="inlineStr">
        <is>
          <t>Estimate / projection</t>
        </is>
      </c>
      <c r="L29" s="16" t="inlineStr">
        <is>
          <t>Low</t>
        </is>
      </c>
      <c r="M29" s="16" t="inlineStr">
        <is>
          <t>Model methodology</t>
        </is>
      </c>
      <c r="N29" s="36" t="inlineStr">
        <is>
          <t>Modeled range.</t>
        </is>
      </c>
    </row>
    <row r="30">
      <c r="A30" s="34" t="inlineStr">
        <is>
          <t>2. Revenue Engine &amp; Economics</t>
        </is>
      </c>
    </row>
    <row r="31">
      <c r="A31" s="40" t="n">
        <v>25</v>
      </c>
      <c r="B31" s="41" t="inlineStr">
        <is>
          <t>Revenue Engine</t>
        </is>
      </c>
      <c r="C31" s="42" t="inlineStr">
        <is>
          <t>Gate revenue</t>
        </is>
      </c>
      <c r="D31" s="41" t="inlineStr">
        <is>
          <t>$</t>
        </is>
      </c>
      <c r="E31" s="82">
        <f>E8*E25</f>
        <v/>
      </c>
      <c r="F31" s="82">
        <f>F8*F25</f>
        <v/>
      </c>
      <c r="G31" s="82">
        <f>G8*G25</f>
        <v/>
      </c>
      <c r="H31" s="82">
        <f>H8*H25</f>
        <v/>
      </c>
      <c r="I31" s="82">
        <f>I8*I25</f>
        <v/>
      </c>
      <c r="J31" s="82">
        <f>J8*J25</f>
        <v/>
      </c>
      <c r="K31" s="41" t="inlineStr">
        <is>
          <t>Derived</t>
        </is>
      </c>
      <c r="L31" s="41" t="inlineStr">
        <is>
          <t>Medium</t>
        </is>
      </c>
      <c r="M31" s="41" t="inlineStr">
        <is>
          <t>Total attendance × WATP</t>
        </is>
      </c>
      <c r="N31" s="44" t="inlineStr">
        <is>
          <t>Modeled gate revenue using weighted average ticket price.</t>
        </is>
      </c>
    </row>
    <row r="32">
      <c r="A32" s="2" t="n">
        <v>26</v>
      </c>
      <c r="B32" s="16" t="inlineStr">
        <is>
          <t>Revenue Engine</t>
        </is>
      </c>
      <c r="C32" s="16" t="inlineStr">
        <is>
          <t>Facility fee per paid ticket</t>
        </is>
      </c>
      <c r="D32" s="16" t="inlineStr">
        <is>
          <t>$</t>
        </is>
      </c>
      <c r="E32" s="79">
        <f>Assumptions!C68</f>
        <v/>
      </c>
      <c r="F32" s="79">
        <f>Assumptions!D68</f>
        <v/>
      </c>
      <c r="G32" s="79">
        <f>Assumptions!E68</f>
        <v/>
      </c>
      <c r="H32" s="79">
        <f>Assumptions!F68</f>
        <v/>
      </c>
      <c r="I32" s="79">
        <f>Assumptions!G68</f>
        <v/>
      </c>
      <c r="J32" s="79">
        <f>Assumptions!H68</f>
        <v/>
      </c>
      <c r="K32" s="16" t="inlineStr">
        <is>
          <t>Estimate</t>
        </is>
      </c>
      <c r="L32" s="16" t="inlineStr">
        <is>
          <t>Low</t>
        </is>
      </c>
      <c r="M32" s="16" t="inlineStr">
        <is>
          <t>Lease-era reporting / model assumption</t>
        </is>
      </c>
      <c r="N32" s="36" t="inlineStr">
        <is>
          <t>Publicly discussed current surcharge structure; early years not confirmed.</t>
        </is>
      </c>
    </row>
    <row r="33">
      <c r="A33" s="2" t="n">
        <v>27</v>
      </c>
      <c r="B33" s="16" t="inlineStr">
        <is>
          <t>Revenue Engine</t>
        </is>
      </c>
      <c r="C33" s="16" t="inlineStr">
        <is>
          <t>Facility fee liability</t>
        </is>
      </c>
      <c r="D33" s="16" t="inlineStr">
        <is>
          <t>$</t>
        </is>
      </c>
      <c r="E33" s="80">
        <f>IFERROR(E8*E32,"")</f>
        <v/>
      </c>
      <c r="F33" s="80">
        <f>IFERROR(F8*F32,"")</f>
        <v/>
      </c>
      <c r="G33" s="80">
        <f>IFERROR(G8*G32,"")</f>
        <v/>
      </c>
      <c r="H33" s="80">
        <f>IFERROR(H8*H32,"")</f>
        <v/>
      </c>
      <c r="I33" s="80">
        <f>IFERROR(I8*I32,"")</f>
        <v/>
      </c>
      <c r="J33" s="80">
        <f>IFERROR(J8*J32,"")</f>
        <v/>
      </c>
      <c r="K33" s="16" t="inlineStr">
        <is>
          <t>Derived</t>
        </is>
      </c>
      <c r="L33" s="16" t="inlineStr">
        <is>
          <t>Low</t>
        </is>
      </c>
      <c r="M33" s="16" t="inlineStr">
        <is>
          <t>Total attendance × facility fee</t>
        </is>
      </c>
      <c r="N33" s="36" t="inlineStr">
        <is>
          <t>Pass-through city/venue fee liability estimate.</t>
        </is>
      </c>
    </row>
    <row r="34">
      <c r="A34" s="2" t="n">
        <v>28</v>
      </c>
      <c r="B34" s="16" t="inlineStr">
        <is>
          <t>Revenue Engine</t>
        </is>
      </c>
      <c r="C34" s="16" t="inlineStr">
        <is>
          <t>Revenue per available seat (RevPAS)</t>
        </is>
      </c>
      <c r="D34" s="16" t="inlineStr">
        <is>
          <t>$</t>
        </is>
      </c>
      <c r="E34" s="80">
        <f>IFERROR(E31/(E56*E7),"")</f>
        <v/>
      </c>
      <c r="F34" s="80">
        <f>IFERROR(F31/(F56*F7),"")</f>
        <v/>
      </c>
      <c r="G34" s="80">
        <f>IFERROR(G31/(G56*G7),"")</f>
        <v/>
      </c>
      <c r="H34" s="80">
        <f>IFERROR(H31/(H56*H7),"")</f>
        <v/>
      </c>
      <c r="I34" s="80">
        <f>IFERROR(I31/(I56*I7),"")</f>
        <v/>
      </c>
      <c r="J34" s="80">
        <f>IFERROR(J31/(J56*J7),"")</f>
        <v/>
      </c>
      <c r="K34" s="16" t="inlineStr">
        <is>
          <t>Derived</t>
        </is>
      </c>
      <c r="L34" s="16" t="inlineStr">
        <is>
          <t>Medium</t>
        </is>
      </c>
      <c r="M34" s="16" t="inlineStr">
        <is>
          <t>Gate ÷ (capacity × home games)</t>
        </is>
      </c>
      <c r="N34" s="36" t="inlineStr">
        <is>
          <t>Uses 12,920 hockey capacity.</t>
        </is>
      </c>
    </row>
    <row r="35">
      <c r="A35" s="2" t="n">
        <v>29</v>
      </c>
      <c r="B35" s="16" t="inlineStr">
        <is>
          <t>Revenue Engine</t>
        </is>
      </c>
      <c r="C35" s="16" t="inlineStr">
        <is>
          <t>F&amp;B per-cap gross</t>
        </is>
      </c>
      <c r="D35" s="16" t="inlineStr">
        <is>
          <t>$</t>
        </is>
      </c>
      <c r="E35" s="79">
        <f>Assumptions!C48</f>
        <v/>
      </c>
      <c r="F35" s="79">
        <f>Assumptions!D48</f>
        <v/>
      </c>
      <c r="G35" s="79">
        <f>Assumptions!E48</f>
        <v/>
      </c>
      <c r="H35" s="79">
        <f>Assumptions!F48</f>
        <v/>
      </c>
      <c r="I35" s="79">
        <f>Assumptions!G48</f>
        <v/>
      </c>
      <c r="J35" s="79">
        <f>Assumptions!H48</f>
        <v/>
      </c>
      <c r="K35" s="16" t="inlineStr">
        <is>
          <t>Estimate / projection</t>
        </is>
      </c>
      <c r="L35" s="16" t="inlineStr">
        <is>
          <t>Low</t>
        </is>
      </c>
      <c r="M35" s="16" t="inlineStr">
        <is>
          <t>Model methodology</t>
        </is>
      </c>
      <c r="N35" s="36" t="inlineStr">
        <is>
          <t>Gross in-building spend, not team net.</t>
        </is>
      </c>
    </row>
    <row r="36">
      <c r="A36" s="2" t="n">
        <v>30</v>
      </c>
      <c r="B36" s="16" t="inlineStr">
        <is>
          <t>Revenue Engine</t>
        </is>
      </c>
      <c r="C36" s="16" t="inlineStr">
        <is>
          <t>Team concession commission rate</t>
        </is>
      </c>
      <c r="D36" s="16" t="inlineStr">
        <is>
          <t>pct</t>
        </is>
      </c>
      <c r="E36" s="81">
        <f>Assumptions!C49</f>
        <v/>
      </c>
      <c r="F36" s="81">
        <f>Assumptions!D49</f>
        <v/>
      </c>
      <c r="G36" s="81">
        <f>Assumptions!E49</f>
        <v/>
      </c>
      <c r="H36" s="81">
        <f>Assumptions!F49</f>
        <v/>
      </c>
      <c r="I36" s="81">
        <f>Assumptions!G49</f>
        <v/>
      </c>
      <c r="J36" s="81">
        <f>Assumptions!H49</f>
        <v/>
      </c>
      <c r="K36" s="16" t="inlineStr">
        <is>
          <t>Estimate</t>
        </is>
      </c>
      <c r="L36" s="16" t="inlineStr">
        <is>
          <t>Low</t>
        </is>
      </c>
      <c r="M36" s="16" t="inlineStr">
        <is>
          <t>Model methodology</t>
        </is>
      </c>
      <c r="N36" s="36" t="inlineStr">
        <is>
          <t>Private split; modeled nominal rate.</t>
        </is>
      </c>
    </row>
    <row r="37">
      <c r="A37" s="2" t="n">
        <v>31</v>
      </c>
      <c r="B37" s="16" t="inlineStr">
        <is>
          <t>Revenue Engine</t>
        </is>
      </c>
      <c r="C37" s="16" t="inlineStr">
        <is>
          <t>Concession commission revenue</t>
        </is>
      </c>
      <c r="D37" s="16" t="inlineStr">
        <is>
          <t>$</t>
        </is>
      </c>
      <c r="E37" s="80">
        <f>E8*E35*E36</f>
        <v/>
      </c>
      <c r="F37" s="80">
        <f>F8*F35*F36</f>
        <v/>
      </c>
      <c r="G37" s="80">
        <f>G8*G35*G36</f>
        <v/>
      </c>
      <c r="H37" s="80">
        <f>H8*H35*H36</f>
        <v/>
      </c>
      <c r="I37" s="80">
        <f>I8*I35*I36</f>
        <v/>
      </c>
      <c r="J37" s="80">
        <f>J8*J35*J36</f>
        <v/>
      </c>
      <c r="K37" s="16" t="inlineStr">
        <is>
          <t>Derived</t>
        </is>
      </c>
      <c r="L37" s="16" t="inlineStr">
        <is>
          <t>Low</t>
        </is>
      </c>
      <c r="M37" s="16" t="inlineStr">
        <is>
          <t>Attendance × F&amp;B per-cap × commission rate</t>
        </is>
      </c>
      <c r="N37" s="36" t="inlineStr">
        <is>
          <t>Team-side concession revenue estimate.</t>
        </is>
      </c>
    </row>
    <row r="38">
      <c r="A38" s="2" t="n">
        <v>32</v>
      </c>
      <c r="B38" s="16" t="inlineStr">
        <is>
          <t>Revenue Engine</t>
        </is>
      </c>
      <c r="C38" s="16" t="inlineStr">
        <is>
          <t>Merchandise per-cap</t>
        </is>
      </c>
      <c r="D38" s="16" t="inlineStr">
        <is>
          <t>$</t>
        </is>
      </c>
      <c r="E38" s="79">
        <f>Assumptions!C50</f>
        <v/>
      </c>
      <c r="F38" s="79">
        <f>Assumptions!D50</f>
        <v/>
      </c>
      <c r="G38" s="79">
        <f>Assumptions!E50</f>
        <v/>
      </c>
      <c r="H38" s="79">
        <f>Assumptions!F50</f>
        <v/>
      </c>
      <c r="I38" s="79">
        <f>Assumptions!G50</f>
        <v/>
      </c>
      <c r="J38" s="79">
        <f>Assumptions!H50</f>
        <v/>
      </c>
      <c r="K38" s="16" t="inlineStr">
        <is>
          <t>Estimate / projection</t>
        </is>
      </c>
      <c r="L38" s="16" t="inlineStr">
        <is>
          <t>Low</t>
        </is>
      </c>
      <c r="M38" s="16" t="inlineStr">
        <is>
          <t>Model methodology</t>
        </is>
      </c>
      <c r="N38" s="36" t="inlineStr">
        <is>
          <t>Modeled team-store spend per attendee.</t>
        </is>
      </c>
    </row>
    <row r="39">
      <c r="A39" s="2" t="n">
        <v>33</v>
      </c>
      <c r="B39" s="16" t="inlineStr">
        <is>
          <t>Revenue Engine</t>
        </is>
      </c>
      <c r="C39" s="16" t="inlineStr">
        <is>
          <t>Merchandise revenue</t>
        </is>
      </c>
      <c r="D39" s="16" t="inlineStr">
        <is>
          <t>$</t>
        </is>
      </c>
      <c r="E39" s="80">
        <f>E8*E38</f>
        <v/>
      </c>
      <c r="F39" s="80">
        <f>F8*F38</f>
        <v/>
      </c>
      <c r="G39" s="80">
        <f>G8*G38</f>
        <v/>
      </c>
      <c r="H39" s="80">
        <f>H8*H38</f>
        <v/>
      </c>
      <c r="I39" s="80">
        <f>I8*I38</f>
        <v/>
      </c>
      <c r="J39" s="80">
        <f>J8*J38</f>
        <v/>
      </c>
      <c r="K39" s="16" t="inlineStr">
        <is>
          <t>Derived</t>
        </is>
      </c>
      <c r="L39" s="16" t="inlineStr">
        <is>
          <t>Low</t>
        </is>
      </c>
      <c r="M39" s="16" t="inlineStr">
        <is>
          <t>Attendance × merch per-cap</t>
        </is>
      </c>
      <c r="N39" s="36" t="inlineStr">
        <is>
          <t>Modeled gross merchandise revenue.</t>
        </is>
      </c>
    </row>
    <row r="40">
      <c r="A40" s="2" t="n">
        <v>34</v>
      </c>
      <c r="B40" s="16" t="inlineStr">
        <is>
          <t>Revenue Engine</t>
        </is>
      </c>
      <c r="C40" s="16" t="inlineStr">
        <is>
          <t>Parking fee assumption</t>
        </is>
      </c>
      <c r="D40" s="16" t="inlineStr">
        <is>
          <t>$</t>
        </is>
      </c>
      <c r="E40" s="79">
        <f>Assumptions!C51</f>
        <v/>
      </c>
      <c r="F40" s="79">
        <f>Assumptions!D51</f>
        <v/>
      </c>
      <c r="G40" s="79">
        <f>Assumptions!E51</f>
        <v/>
      </c>
      <c r="H40" s="79">
        <f>Assumptions!F51</f>
        <v/>
      </c>
      <c r="I40" s="79">
        <f>Assumptions!G51</f>
        <v/>
      </c>
      <c r="J40" s="79">
        <f>Assumptions!H51</f>
        <v/>
      </c>
      <c r="K40" s="16" t="inlineStr">
        <is>
          <t>Estimate / projection</t>
        </is>
      </c>
      <c r="L40" s="16" t="inlineStr">
        <is>
          <t>Low</t>
        </is>
      </c>
      <c r="M40" s="16" t="inlineStr">
        <is>
          <t>Public parking page + model</t>
        </is>
      </c>
      <c r="N40" s="36" t="inlineStr">
        <is>
          <t>Event-specific public fee structure; year values are model anchors.</t>
        </is>
      </c>
    </row>
    <row r="41">
      <c r="A41" s="2" t="n">
        <v>35</v>
      </c>
      <c r="B41" s="16" t="inlineStr">
        <is>
          <t>Revenue Engine</t>
        </is>
      </c>
      <c r="C41" s="16" t="inlineStr">
        <is>
          <t>Average auto occupancy</t>
        </is>
      </c>
      <c r="D41" s="16" t="inlineStr">
        <is>
          <t>persons</t>
        </is>
      </c>
      <c r="E41" s="45">
        <f>Assumptions!C52</f>
        <v/>
      </c>
      <c r="F41" s="45">
        <f>Assumptions!D52</f>
        <v/>
      </c>
      <c r="G41" s="45">
        <f>Assumptions!E52</f>
        <v/>
      </c>
      <c r="H41" s="45">
        <f>Assumptions!F52</f>
        <v/>
      </c>
      <c r="I41" s="45">
        <f>Assumptions!G52</f>
        <v/>
      </c>
      <c r="J41" s="45">
        <f>Assumptions!H52</f>
        <v/>
      </c>
      <c r="K41" s="16" t="inlineStr">
        <is>
          <t>Estimate</t>
        </is>
      </c>
      <c r="L41" s="16" t="inlineStr">
        <is>
          <t>Low</t>
        </is>
      </c>
      <c r="M41" s="16" t="inlineStr">
        <is>
          <t>Model methodology</t>
        </is>
      </c>
      <c r="N41" s="36" t="inlineStr">
        <is>
          <t>Transport assumption for parking yield.</t>
        </is>
      </c>
    </row>
    <row r="42">
      <c r="A42" s="2" t="n">
        <v>36</v>
      </c>
      <c r="B42" s="16" t="inlineStr">
        <is>
          <t>Revenue Engine</t>
        </is>
      </c>
      <c r="C42" s="16" t="inlineStr">
        <is>
          <t>Team share of parking</t>
        </is>
      </c>
      <c r="D42" s="16" t="inlineStr">
        <is>
          <t>pct</t>
        </is>
      </c>
      <c r="E42" s="81">
        <f>Assumptions!C53</f>
        <v/>
      </c>
      <c r="F42" s="81">
        <f>Assumptions!D53</f>
        <v/>
      </c>
      <c r="G42" s="81">
        <f>Assumptions!E53</f>
        <v/>
      </c>
      <c r="H42" s="81">
        <f>Assumptions!F53</f>
        <v/>
      </c>
      <c r="I42" s="81">
        <f>Assumptions!G53</f>
        <v/>
      </c>
      <c r="J42" s="81">
        <f>Assumptions!H53</f>
        <v/>
      </c>
      <c r="K42" s="16" t="inlineStr">
        <is>
          <t>Estimate</t>
        </is>
      </c>
      <c r="L42" s="16" t="inlineStr">
        <is>
          <t>Low</t>
        </is>
      </c>
      <c r="M42" s="16" t="inlineStr">
        <is>
          <t>Model methodology</t>
        </is>
      </c>
      <c r="N42" s="36" t="inlineStr">
        <is>
          <t>No public split located; nominal placeholder only.</t>
        </is>
      </c>
    </row>
    <row r="43">
      <c r="A43" s="2" t="n">
        <v>37</v>
      </c>
      <c r="B43" s="16" t="inlineStr">
        <is>
          <t>Revenue Engine</t>
        </is>
      </c>
      <c r="C43" s="16" t="inlineStr">
        <is>
          <t>Parking revenue yield</t>
        </is>
      </c>
      <c r="D43" s="16" t="inlineStr">
        <is>
          <t>$</t>
        </is>
      </c>
      <c r="E43" s="80">
        <f>IFERROR((E8/E41)*E40*E42,"")</f>
        <v/>
      </c>
      <c r="F43" s="80">
        <f>IFERROR((F8/F41)*F40*F42,"")</f>
        <v/>
      </c>
      <c r="G43" s="80">
        <f>IFERROR((G8/G41)*G40*G42,"")</f>
        <v/>
      </c>
      <c r="H43" s="80">
        <f>IFERROR((H8/H41)*H40*H42,"")</f>
        <v/>
      </c>
      <c r="I43" s="80">
        <f>IFERROR((I8/I41)*I40*I42,"")</f>
        <v/>
      </c>
      <c r="J43" s="80">
        <f>IFERROR((J8/J41)*J40*J42,"")</f>
        <v/>
      </c>
      <c r="K43" s="16" t="inlineStr">
        <is>
          <t>Derived</t>
        </is>
      </c>
      <c r="L43" s="16" t="inlineStr">
        <is>
          <t>Low</t>
        </is>
      </c>
      <c r="M43" s="16" t="inlineStr">
        <is>
          <t>Attendance ÷ occupancy × fee × share</t>
        </is>
      </c>
      <c r="N43" s="36" t="inlineStr">
        <is>
          <t>Team-side parking estimate.</t>
        </is>
      </c>
    </row>
    <row r="44">
      <c r="A44" s="2" t="n">
        <v>38</v>
      </c>
      <c r="B44" s="16" t="inlineStr">
        <is>
          <t>Revenue Engine</t>
        </is>
      </c>
      <c r="C44" s="16" t="inlineStr">
        <is>
          <t>Total per-cap spend (F&amp;B + merch)</t>
        </is>
      </c>
      <c r="D44" s="16" t="inlineStr">
        <is>
          <t>$</t>
        </is>
      </c>
      <c r="E44" s="80">
        <f>E35+E38</f>
        <v/>
      </c>
      <c r="F44" s="80">
        <f>F35+F38</f>
        <v/>
      </c>
      <c r="G44" s="80">
        <f>G35+G38</f>
        <v/>
      </c>
      <c r="H44" s="80">
        <f>H35+H38</f>
        <v/>
      </c>
      <c r="I44" s="80">
        <f>I35+I38</f>
        <v/>
      </c>
      <c r="J44" s="80">
        <f>J35+J38</f>
        <v/>
      </c>
      <c r="K44" s="16" t="inlineStr">
        <is>
          <t>Derived</t>
        </is>
      </c>
      <c r="L44" s="16" t="inlineStr">
        <is>
          <t>Low</t>
        </is>
      </c>
      <c r="M44" s="16" t="inlineStr">
        <is>
          <t>F&amp;B per-cap + merch per-cap</t>
        </is>
      </c>
      <c r="N44" s="36" t="inlineStr">
        <is>
          <t>Gross fan spend indicator.</t>
        </is>
      </c>
    </row>
    <row r="45">
      <c r="A45" s="2" t="n">
        <v>39</v>
      </c>
      <c r="B45" s="16" t="inlineStr">
        <is>
          <t>Revenue Engine</t>
        </is>
      </c>
      <c r="C45" s="16" t="inlineStr">
        <is>
          <t>Total sponsorship revenue</t>
        </is>
      </c>
      <c r="D45" s="16" t="inlineStr">
        <is>
          <t>$</t>
        </is>
      </c>
      <c r="E45" s="79">
        <f>Assumptions!C54</f>
        <v/>
      </c>
      <c r="F45" s="79">
        <f>Assumptions!D54</f>
        <v/>
      </c>
      <c r="G45" s="79">
        <f>Assumptions!E54</f>
        <v/>
      </c>
      <c r="H45" s="79">
        <f>Assumptions!F54</f>
        <v/>
      </c>
      <c r="I45" s="79">
        <f>Assumptions!G54</f>
        <v/>
      </c>
      <c r="J45" s="79">
        <f>Assumptions!H54</f>
        <v/>
      </c>
      <c r="K45" s="16" t="inlineStr">
        <is>
          <t>Estimate / projection</t>
        </is>
      </c>
      <c r="L45" s="16" t="inlineStr">
        <is>
          <t>Low</t>
        </is>
      </c>
      <c r="M45" s="16" t="inlineStr">
        <is>
          <t>Model methodology</t>
        </is>
      </c>
      <c r="N45" s="36" t="inlineStr">
        <is>
          <t>Total sponsorship / partner inventory revenue.</t>
        </is>
      </c>
    </row>
    <row r="46">
      <c r="A46" s="2" t="n">
        <v>40</v>
      </c>
      <c r="B46" s="16" t="inlineStr">
        <is>
          <t>Revenue Engine</t>
        </is>
      </c>
      <c r="C46" s="16" t="inlineStr">
        <is>
          <t>Title partner value</t>
        </is>
      </c>
      <c r="D46" s="16" t="inlineStr">
        <is>
          <t>$</t>
        </is>
      </c>
      <c r="E46" s="79">
        <f>Assumptions!C55</f>
        <v/>
      </c>
      <c r="F46" s="79">
        <f>Assumptions!D55</f>
        <v/>
      </c>
      <c r="G46" s="79">
        <f>Assumptions!E55</f>
        <v/>
      </c>
      <c r="H46" s="79">
        <f>Assumptions!F55</f>
        <v/>
      </c>
      <c r="I46" s="79">
        <f>Assumptions!G55</f>
        <v/>
      </c>
      <c r="J46" s="79">
        <f>Assumptions!H55</f>
        <v/>
      </c>
      <c r="K46" s="16" t="inlineStr">
        <is>
          <t>Estimate</t>
        </is>
      </c>
      <c r="L46" s="16" t="inlineStr">
        <is>
          <t>Low</t>
        </is>
      </c>
      <c r="M46" s="16" t="inlineStr">
        <is>
          <t>Model methodology</t>
        </is>
      </c>
      <c r="N46" s="36" t="inlineStr">
        <is>
          <t>Subcomponent of sponsorship total.</t>
        </is>
      </c>
    </row>
    <row r="47">
      <c r="A47" s="2" t="n">
        <v>41</v>
      </c>
      <c r="B47" s="16" t="inlineStr">
        <is>
          <t>Revenue Engine</t>
        </is>
      </c>
      <c r="C47" s="16" t="inlineStr">
        <is>
          <t>Jersey / patch revenue</t>
        </is>
      </c>
      <c r="D47" s="16" t="inlineStr">
        <is>
          <t>$</t>
        </is>
      </c>
      <c r="E47" s="79">
        <f>Assumptions!C56</f>
        <v/>
      </c>
      <c r="F47" s="79">
        <f>Assumptions!D56</f>
        <v/>
      </c>
      <c r="G47" s="79">
        <f>Assumptions!E56</f>
        <v/>
      </c>
      <c r="H47" s="79">
        <f>Assumptions!F56</f>
        <v/>
      </c>
      <c r="I47" s="79">
        <f>Assumptions!G56</f>
        <v/>
      </c>
      <c r="J47" s="79">
        <f>Assumptions!H56</f>
        <v/>
      </c>
      <c r="K47" s="16" t="inlineStr">
        <is>
          <t>Estimate</t>
        </is>
      </c>
      <c r="L47" s="16" t="inlineStr">
        <is>
          <t>Low</t>
        </is>
      </c>
      <c r="M47" s="16" t="inlineStr">
        <is>
          <t>Model methodology</t>
        </is>
      </c>
      <c r="N47" s="36" t="inlineStr">
        <is>
          <t>Subcomponent of sponsorship total.</t>
        </is>
      </c>
    </row>
    <row r="48">
      <c r="A48" s="2" t="n">
        <v>42</v>
      </c>
      <c r="B48" s="16" t="inlineStr">
        <is>
          <t>Revenue Engine</t>
        </is>
      </c>
      <c r="C48" s="16" t="inlineStr">
        <is>
          <t>Digital inventory yield</t>
        </is>
      </c>
      <c r="D48" s="16" t="inlineStr">
        <is>
          <t>$</t>
        </is>
      </c>
      <c r="E48" s="79">
        <f>Assumptions!C57</f>
        <v/>
      </c>
      <c r="F48" s="79">
        <f>Assumptions!D57</f>
        <v/>
      </c>
      <c r="G48" s="79">
        <f>Assumptions!E57</f>
        <v/>
      </c>
      <c r="H48" s="79">
        <f>Assumptions!F57</f>
        <v/>
      </c>
      <c r="I48" s="79">
        <f>Assumptions!G57</f>
        <v/>
      </c>
      <c r="J48" s="79">
        <f>Assumptions!H57</f>
        <v/>
      </c>
      <c r="K48" s="16" t="inlineStr">
        <is>
          <t>Estimate</t>
        </is>
      </c>
      <c r="L48" s="16" t="inlineStr">
        <is>
          <t>Low</t>
        </is>
      </c>
      <c r="M48" s="16" t="inlineStr">
        <is>
          <t>Model methodology</t>
        </is>
      </c>
      <c r="N48" s="36" t="inlineStr">
        <is>
          <t>Subcomponent of sponsorship total.</t>
        </is>
      </c>
    </row>
    <row r="49">
      <c r="A49" s="2" t="n">
        <v>43</v>
      </c>
      <c r="B49" s="16" t="inlineStr">
        <is>
          <t>Revenue Engine</t>
        </is>
      </c>
      <c r="C49" s="16" t="inlineStr">
        <is>
          <t>Other sponsorship revenue</t>
        </is>
      </c>
      <c r="D49" s="16" t="inlineStr">
        <is>
          <t>$</t>
        </is>
      </c>
      <c r="E49" s="80">
        <f>E45-E46-E47-E48</f>
        <v/>
      </c>
      <c r="F49" s="80">
        <f>F45-F46-F47-F48</f>
        <v/>
      </c>
      <c r="G49" s="80">
        <f>G45-G46-G47-G48</f>
        <v/>
      </c>
      <c r="H49" s="80">
        <f>H45-H46-H47-H48</f>
        <v/>
      </c>
      <c r="I49" s="80">
        <f>I45-I46-I47-I48</f>
        <v/>
      </c>
      <c r="J49" s="80">
        <f>J45-J46-J47-J48</f>
        <v/>
      </c>
      <c r="K49" s="16" t="inlineStr">
        <is>
          <t>Derived</t>
        </is>
      </c>
      <c r="L49" s="16" t="inlineStr">
        <is>
          <t>Low</t>
        </is>
      </c>
      <c r="M49" s="16" t="inlineStr">
        <is>
          <t>Residual sponsorship value</t>
        </is>
      </c>
      <c r="N49" s="36" t="inlineStr">
        <is>
          <t>Total sponsorship less title, patch, and digital subcomponents.</t>
        </is>
      </c>
    </row>
    <row r="50">
      <c r="A50" s="2" t="n">
        <v>44</v>
      </c>
      <c r="B50" s="16" t="inlineStr">
        <is>
          <t>Revenue Engine</t>
        </is>
      </c>
      <c r="C50" s="16" t="inlineStr">
        <is>
          <t>Broadcast / streaming value</t>
        </is>
      </c>
      <c r="D50" s="16" t="inlineStr">
        <is>
          <t>$</t>
        </is>
      </c>
      <c r="E50" s="79">
        <f>Assumptions!C58</f>
        <v/>
      </c>
      <c r="F50" s="79">
        <f>Assumptions!D58</f>
        <v/>
      </c>
      <c r="G50" s="79">
        <f>Assumptions!E58</f>
        <v/>
      </c>
      <c r="H50" s="79">
        <f>Assumptions!F58</f>
        <v/>
      </c>
      <c r="I50" s="79">
        <f>Assumptions!G58</f>
        <v/>
      </c>
      <c r="J50" s="79">
        <f>Assumptions!H58</f>
        <v/>
      </c>
      <c r="K50" s="16" t="inlineStr">
        <is>
          <t>Estimate</t>
        </is>
      </c>
      <c r="L50" s="16" t="inlineStr">
        <is>
          <t>Low</t>
        </is>
      </c>
      <c r="M50" s="16" t="inlineStr">
        <is>
          <t>AHL/FloHockey + local TV context</t>
        </is>
      </c>
      <c r="N50" s="36" t="inlineStr">
        <is>
          <t>Modeled media value.</t>
        </is>
      </c>
    </row>
    <row r="51">
      <c r="A51" s="2" t="n">
        <v>45</v>
      </c>
      <c r="B51" s="16" t="inlineStr">
        <is>
          <t>Revenue Engine</t>
        </is>
      </c>
      <c r="C51" s="16" t="inlineStr">
        <is>
          <t>Youth hockey / camp revenue</t>
        </is>
      </c>
      <c r="D51" s="16" t="inlineStr">
        <is>
          <t>$</t>
        </is>
      </c>
      <c r="E51" s="79">
        <f>Assumptions!C91</f>
        <v/>
      </c>
      <c r="F51" s="79">
        <f>Assumptions!D91</f>
        <v/>
      </c>
      <c r="G51" s="79">
        <f>Assumptions!E91</f>
        <v/>
      </c>
      <c r="H51" s="79">
        <f>Assumptions!F91</f>
        <v/>
      </c>
      <c r="I51" s="79">
        <f>Assumptions!G91</f>
        <v/>
      </c>
      <c r="J51" s="79">
        <f>Assumptions!H91</f>
        <v/>
      </c>
      <c r="K51" s="16" t="inlineStr">
        <is>
          <t>Estimate</t>
        </is>
      </c>
      <c r="L51" s="16" t="inlineStr">
        <is>
          <t>Low</t>
        </is>
      </c>
      <c r="M51" s="16" t="inlineStr">
        <is>
          <t>Model methodology</t>
        </is>
      </c>
      <c r="N51" s="36" t="inlineStr">
        <is>
          <t>Direct ecosystem youth / camp estimate.</t>
        </is>
      </c>
    </row>
    <row r="52">
      <c r="A52" s="40" t="n">
        <v>46</v>
      </c>
      <c r="B52" s="41" t="inlineStr">
        <is>
          <t>Revenue Engine</t>
        </is>
      </c>
      <c r="C52" s="42" t="inlineStr">
        <is>
          <t>Gross annual revenue</t>
        </is>
      </c>
      <c r="D52" s="41" t="inlineStr">
        <is>
          <t>$</t>
        </is>
      </c>
      <c r="E52" s="82">
        <f>IFERROR(E31+E37+E39+E43+E45+E50+E51,0)</f>
        <v/>
      </c>
      <c r="F52" s="82">
        <f>IFERROR(F31+F37+F39+F43+F45+F50+F51,0)</f>
        <v/>
      </c>
      <c r="G52" s="82">
        <f>IFERROR(G31+G37+G39+G43+G45+G50+G51,0)</f>
        <v/>
      </c>
      <c r="H52" s="82">
        <f>IFERROR(H31+H37+H39+H43+H45+H50+H51,0)</f>
        <v/>
      </c>
      <c r="I52" s="82">
        <f>IFERROR(I31+I37+I39+I43+I45+I50+I51,0)</f>
        <v/>
      </c>
      <c r="J52" s="82">
        <f>IFERROR(J31+J37+J39+J43+J45+J50+J51,0)</f>
        <v/>
      </c>
      <c r="K52" s="41" t="inlineStr">
        <is>
          <t>Derived</t>
        </is>
      </c>
      <c r="L52" s="41" t="inlineStr">
        <is>
          <t>Medium</t>
        </is>
      </c>
      <c r="M52" s="41" t="inlineStr">
        <is>
          <t>Gate + commission + merch + parking + sponsorship + media + youth</t>
        </is>
      </c>
      <c r="N52" s="44" t="inlineStr">
        <is>
          <t>Excludes NHL parent subsidy to preserve stand-alone club revenue view.</t>
        </is>
      </c>
    </row>
    <row r="53">
      <c r="A53" s="2" t="n">
        <v>47</v>
      </c>
      <c r="B53" s="16" t="inlineStr">
        <is>
          <t>Revenue Engine</t>
        </is>
      </c>
      <c r="C53" s="16" t="inlineStr">
        <is>
          <t>NHL parent subsidy</t>
        </is>
      </c>
      <c r="D53" s="16" t="inlineStr">
        <is>
          <t>$</t>
        </is>
      </c>
      <c r="E53" s="79">
        <f>Assumptions!C90</f>
        <v/>
      </c>
      <c r="F53" s="79">
        <f>Assumptions!D90</f>
        <v/>
      </c>
      <c r="G53" s="79">
        <f>Assumptions!E90</f>
        <v/>
      </c>
      <c r="H53" s="79">
        <f>Assumptions!F90</f>
        <v/>
      </c>
      <c r="I53" s="79">
        <f>Assumptions!G90</f>
        <v/>
      </c>
      <c r="J53" s="79">
        <f>Assumptions!H90</f>
        <v/>
      </c>
      <c r="K53" s="16" t="inlineStr">
        <is>
          <t>Estimate</t>
        </is>
      </c>
      <c r="L53" s="16" t="inlineStr">
        <is>
          <t>Low</t>
        </is>
      </c>
      <c r="M53" s="16" t="inlineStr">
        <is>
          <t>Model methodology</t>
        </is>
      </c>
      <c r="N53" s="36" t="inlineStr">
        <is>
          <t>Anaheim Ducks affiliate support estimate.</t>
        </is>
      </c>
    </row>
    <row r="54">
      <c r="A54" s="2" t="n">
        <v>48</v>
      </c>
      <c r="B54" s="16" t="inlineStr">
        <is>
          <t>Revenue Engine</t>
        </is>
      </c>
      <c r="C54" s="16" t="inlineStr">
        <is>
          <t>Operating resources incl. parent support</t>
        </is>
      </c>
      <c r="D54" s="16" t="inlineStr">
        <is>
          <t>$</t>
        </is>
      </c>
      <c r="E54" s="80">
        <f>E52+E53</f>
        <v/>
      </c>
      <c r="F54" s="80">
        <f>F52+F53</f>
        <v/>
      </c>
      <c r="G54" s="80">
        <f>G52+G53</f>
        <v/>
      </c>
      <c r="H54" s="80">
        <f>H52+H53</f>
        <v/>
      </c>
      <c r="I54" s="80">
        <f>I52+I53</f>
        <v/>
      </c>
      <c r="J54" s="80">
        <f>J52+J53</f>
        <v/>
      </c>
      <c r="K54" s="16" t="inlineStr">
        <is>
          <t>Derived</t>
        </is>
      </c>
      <c r="L54" s="16" t="inlineStr">
        <is>
          <t>Low</t>
        </is>
      </c>
      <c r="M54" s="16" t="inlineStr">
        <is>
          <t>Gross revenue + parent subsidy</t>
        </is>
      </c>
      <c r="N54" s="36" t="inlineStr">
        <is>
          <t>Useful for full operating-scale context.</t>
        </is>
      </c>
    </row>
    <row r="55">
      <c r="A55" s="34" t="inlineStr">
        <is>
          <t>3. Arena, Municipal &amp; Venue Footprint</t>
        </is>
      </c>
    </row>
    <row r="56">
      <c r="A56" s="2" t="n">
        <v>49</v>
      </c>
      <c r="B56" s="16" t="inlineStr">
        <is>
          <t>Arena / Municipal</t>
        </is>
      </c>
      <c r="C56" s="16" t="inlineStr">
        <is>
          <t>Hockey seating capacity</t>
        </is>
      </c>
      <c r="D56" s="16" t="inlineStr">
        <is>
          <t>seats</t>
        </is>
      </c>
      <c r="E56" s="78">
        <f>Assumptions!C26</f>
        <v/>
      </c>
      <c r="F56" s="78">
        <f>Assumptions!D26</f>
        <v/>
      </c>
      <c r="G56" s="78">
        <f>Assumptions!E26</f>
        <v/>
      </c>
      <c r="H56" s="78">
        <f>Assumptions!F26</f>
        <v/>
      </c>
      <c r="I56" s="78">
        <f>Assumptions!G26</f>
        <v/>
      </c>
      <c r="J56" s="78">
        <f>Assumptions!H26</f>
        <v/>
      </c>
      <c r="K56" s="16" t="inlineStr">
        <is>
          <t>Context</t>
        </is>
      </c>
      <c r="L56" s="16" t="inlineStr">
        <is>
          <t>Medium</t>
        </is>
      </c>
      <c r="M56" s="16" t="inlineStr">
        <is>
          <t>Official media guide</t>
        </is>
      </c>
      <c r="N56" s="36" t="inlineStr">
        <is>
          <t>Capacity used in RevPAS.</t>
        </is>
      </c>
    </row>
    <row r="57">
      <c r="A57" s="2" t="n">
        <v>50</v>
      </c>
      <c r="B57" s="16" t="inlineStr">
        <is>
          <t>Arena / Municipal</t>
        </is>
      </c>
      <c r="C57" s="16" t="inlineStr">
        <is>
          <t>General venue capacity</t>
        </is>
      </c>
      <c r="D57" s="16" t="inlineStr">
        <is>
          <t>seats</t>
        </is>
      </c>
      <c r="E57" s="78">
        <f>Assumptions!C27</f>
        <v/>
      </c>
      <c r="F57" s="78">
        <f>Assumptions!D27</f>
        <v/>
      </c>
      <c r="G57" s="78">
        <f>Assumptions!E27</f>
        <v/>
      </c>
      <c r="H57" s="78">
        <f>Assumptions!F27</f>
        <v/>
      </c>
      <c r="I57" s="78">
        <f>Assumptions!G27</f>
        <v/>
      </c>
      <c r="J57" s="78">
        <f>Assumptions!H27</f>
        <v/>
      </c>
      <c r="K57" s="16" t="inlineStr">
        <is>
          <t>Public</t>
        </is>
      </c>
      <c r="L57" s="16" t="inlineStr">
        <is>
          <t>High</t>
        </is>
      </c>
      <c r="M57" s="16" t="inlineStr">
        <is>
          <t>Official venue page</t>
        </is>
      </c>
      <c r="N57" s="36" t="inlineStr">
        <is>
          <t>Current listed arena capacity.</t>
        </is>
      </c>
    </row>
    <row r="58">
      <c r="A58" s="2" t="n">
        <v>51</v>
      </c>
      <c r="B58" s="16" t="inlineStr">
        <is>
          <t>Arena / Municipal</t>
        </is>
      </c>
      <c r="C58" s="16" t="inlineStr">
        <is>
          <t>Base rent floor (annualized)</t>
        </is>
      </c>
      <c r="D58" s="16" t="inlineStr">
        <is>
          <t>$</t>
        </is>
      </c>
      <c r="E58" s="79">
        <f>Assumptions!C69</f>
        <v/>
      </c>
      <c r="F58" s="79">
        <f>Assumptions!D69</f>
        <v/>
      </c>
      <c r="G58" s="79">
        <f>Assumptions!E69</f>
        <v/>
      </c>
      <c r="H58" s="79">
        <f>Assumptions!F69</f>
        <v/>
      </c>
      <c r="I58" s="79">
        <f>Assumptions!G69</f>
        <v/>
      </c>
      <c r="J58" s="79">
        <f>Assumptions!H69</f>
        <v/>
      </c>
      <c r="K58" s="16" t="inlineStr">
        <is>
          <t>Public / projection</t>
        </is>
      </c>
      <c r="L58" s="16" t="inlineStr">
        <is>
          <t>Medium</t>
        </is>
      </c>
      <c r="M58" s="16" t="inlineStr">
        <is>
          <t>Arena lease reporting</t>
        </is>
      </c>
      <c r="N58" s="36" t="inlineStr">
        <is>
          <t>Arena-operator level, not disclosed team sublease.</t>
        </is>
      </c>
    </row>
    <row r="59">
      <c r="A59" s="2" t="n">
        <v>52</v>
      </c>
      <c r="B59" s="16" t="inlineStr">
        <is>
          <t>Arena / Municipal</t>
        </is>
      </c>
      <c r="C59" s="16" t="inlineStr">
        <is>
          <t>Rent escalator</t>
        </is>
      </c>
      <c r="D59" s="16" t="inlineStr">
        <is>
          <t>pct</t>
        </is>
      </c>
      <c r="E59" s="81">
        <f>Assumptions!C70</f>
        <v/>
      </c>
      <c r="F59" s="81">
        <f>Assumptions!D70</f>
        <v/>
      </c>
      <c r="G59" s="81">
        <f>Assumptions!E70</f>
        <v/>
      </c>
      <c r="H59" s="81">
        <f>Assumptions!F70</f>
        <v/>
      </c>
      <c r="I59" s="81">
        <f>Assumptions!G70</f>
        <v/>
      </c>
      <c r="J59" s="81">
        <f>Assumptions!H70</f>
        <v/>
      </c>
      <c r="K59" s="16" t="inlineStr">
        <is>
          <t>Derived / projection</t>
        </is>
      </c>
      <c r="L59" s="16" t="inlineStr">
        <is>
          <t>Medium</t>
        </is>
      </c>
      <c r="M59" s="16" t="inlineStr">
        <is>
          <t>Lease floor progression</t>
        </is>
      </c>
      <c r="N59" s="36" t="inlineStr">
        <is>
          <t>Derived from public operator-level rent floor.</t>
        </is>
      </c>
    </row>
    <row r="60">
      <c r="A60" s="2" t="n">
        <v>53</v>
      </c>
      <c r="B60" s="16" t="inlineStr">
        <is>
          <t>Arena / Municipal</t>
        </is>
      </c>
      <c r="C60" s="16" t="inlineStr">
        <is>
          <t>Security / police overhead per event</t>
        </is>
      </c>
      <c r="D60" s="16" t="inlineStr">
        <is>
          <t>$</t>
        </is>
      </c>
      <c r="E60" s="79">
        <f>Assumptions!C71</f>
        <v/>
      </c>
      <c r="F60" s="79">
        <f>Assumptions!D71</f>
        <v/>
      </c>
      <c r="G60" s="79">
        <f>Assumptions!E71</f>
        <v/>
      </c>
      <c r="H60" s="79">
        <f>Assumptions!F71</f>
        <v/>
      </c>
      <c r="I60" s="79">
        <f>Assumptions!G71</f>
        <v/>
      </c>
      <c r="J60" s="79">
        <f>Assumptions!H71</f>
        <v/>
      </c>
      <c r="K60" s="16" t="inlineStr">
        <is>
          <t>Estimate</t>
        </is>
      </c>
      <c r="L60" s="16" t="inlineStr">
        <is>
          <t>Low</t>
        </is>
      </c>
      <c r="M60" s="16" t="inlineStr">
        <is>
          <t>City event policing framework</t>
        </is>
      </c>
      <c r="N60" s="36" t="inlineStr">
        <is>
          <t>Event cost estimate.</t>
        </is>
      </c>
    </row>
    <row r="61">
      <c r="A61" s="2" t="n">
        <v>54</v>
      </c>
      <c r="B61" s="16" t="inlineStr">
        <is>
          <t>Arena / Municipal</t>
        </is>
      </c>
      <c r="C61" s="16" t="inlineStr">
        <is>
          <t>Security / police overhead (annual)</t>
        </is>
      </c>
      <c r="D61" s="16" t="inlineStr">
        <is>
          <t>$</t>
        </is>
      </c>
      <c r="E61" s="80">
        <f>E60*E7</f>
        <v/>
      </c>
      <c r="F61" s="80">
        <f>F60*F7</f>
        <v/>
      </c>
      <c r="G61" s="80">
        <f>G60*G7</f>
        <v/>
      </c>
      <c r="H61" s="80">
        <f>H60*H7</f>
        <v/>
      </c>
      <c r="I61" s="80">
        <f>I60*I7</f>
        <v/>
      </c>
      <c r="J61" s="80">
        <f>J60*J7</f>
        <v/>
      </c>
      <c r="K61" s="16" t="inlineStr">
        <is>
          <t>Derived</t>
        </is>
      </c>
      <c r="L61" s="16" t="inlineStr">
        <is>
          <t>Low</t>
        </is>
      </c>
      <c r="M61" s="16" t="inlineStr">
        <is>
          <t>Per-event security × home games</t>
        </is>
      </c>
      <c r="N61" s="36" t="inlineStr">
        <is>
          <t>Annualized event security cost.</t>
        </is>
      </c>
    </row>
    <row r="62">
      <c r="A62" s="2" t="n">
        <v>55</v>
      </c>
      <c r="B62" s="16" t="inlineStr">
        <is>
          <t>Arena / Municipal</t>
        </is>
      </c>
      <c r="C62" s="16" t="inlineStr">
        <is>
          <t>Utilities &amp; HVAC load</t>
        </is>
      </c>
      <c r="D62" s="16" t="inlineStr">
        <is>
          <t>$</t>
        </is>
      </c>
      <c r="E62" s="79">
        <f>Assumptions!C72</f>
        <v/>
      </c>
      <c r="F62" s="79">
        <f>Assumptions!D72</f>
        <v/>
      </c>
      <c r="G62" s="79">
        <f>Assumptions!E72</f>
        <v/>
      </c>
      <c r="H62" s="79">
        <f>Assumptions!F72</f>
        <v/>
      </c>
      <c r="I62" s="79">
        <f>Assumptions!G72</f>
        <v/>
      </c>
      <c r="J62" s="79">
        <f>Assumptions!H72</f>
        <v/>
      </c>
      <c r="K62" s="16" t="inlineStr">
        <is>
          <t>Estimate</t>
        </is>
      </c>
      <c r="L62" s="16" t="inlineStr">
        <is>
          <t>Low</t>
        </is>
      </c>
      <c r="M62" s="16" t="inlineStr">
        <is>
          <t>Model methodology</t>
        </is>
      </c>
      <c r="N62" s="36" t="inlineStr">
        <is>
          <t>Annualized utilities / ice / cooling.</t>
        </is>
      </c>
    </row>
    <row r="63">
      <c r="A63" s="2" t="n">
        <v>56</v>
      </c>
      <c r="B63" s="16" t="inlineStr">
        <is>
          <t>Arena / Municipal</t>
        </is>
      </c>
      <c r="C63" s="16" t="inlineStr">
        <is>
          <t>Load-in / load-out allocation</t>
        </is>
      </c>
      <c r="D63" s="16" t="inlineStr">
        <is>
          <t>$</t>
        </is>
      </c>
      <c r="E63" s="79">
        <f>Assumptions!C73</f>
        <v/>
      </c>
      <c r="F63" s="79">
        <f>Assumptions!D73</f>
        <v/>
      </c>
      <c r="G63" s="79">
        <f>Assumptions!E73</f>
        <v/>
      </c>
      <c r="H63" s="79">
        <f>Assumptions!F73</f>
        <v/>
      </c>
      <c r="I63" s="79">
        <f>Assumptions!G73</f>
        <v/>
      </c>
      <c r="J63" s="79">
        <f>Assumptions!H73</f>
        <v/>
      </c>
      <c r="K63" s="16" t="inlineStr">
        <is>
          <t>Estimate</t>
        </is>
      </c>
      <c r="L63" s="16" t="inlineStr">
        <is>
          <t>Low</t>
        </is>
      </c>
      <c r="M63" s="16" t="inlineStr">
        <is>
          <t>Model methodology</t>
        </is>
      </c>
      <c r="N63" s="36" t="inlineStr">
        <is>
          <t>Annualized mixed-use arena conversion allocation.</t>
        </is>
      </c>
    </row>
    <row r="64">
      <c r="A64" s="2" t="n">
        <v>57</v>
      </c>
      <c r="B64" s="16" t="inlineStr">
        <is>
          <t>Arena / Municipal</t>
        </is>
      </c>
      <c r="C64" s="16" t="inlineStr">
        <is>
          <t>Midway district assessment / CFD</t>
        </is>
      </c>
      <c r="D64" s="16" t="inlineStr">
        <is>
          <t>$</t>
        </is>
      </c>
      <c r="E64" s="79">
        <f>Assumptions!C74</f>
        <v/>
      </c>
      <c r="F64" s="79">
        <f>Assumptions!D74</f>
        <v/>
      </c>
      <c r="G64" s="79">
        <f>Assumptions!E74</f>
        <v/>
      </c>
      <c r="H64" s="79">
        <f>Assumptions!F74</f>
        <v/>
      </c>
      <c r="I64" s="79">
        <f>Assumptions!G74</f>
        <v/>
      </c>
      <c r="J64" s="79">
        <f>Assumptions!H74</f>
        <v/>
      </c>
      <c r="K64" s="16" t="inlineStr">
        <is>
          <t>Context</t>
        </is>
      </c>
      <c r="L64" s="16" t="inlineStr">
        <is>
          <t>Low</t>
        </is>
      </c>
      <c r="M64" s="16" t="inlineStr">
        <is>
          <t>Public review</t>
        </is>
      </c>
      <c r="N64" s="36" t="inlineStr">
        <is>
          <t>No public team-side assessment identified.</t>
        </is>
      </c>
    </row>
    <row r="65">
      <c r="A65" s="2" t="n">
        <v>58</v>
      </c>
      <c r="B65" s="16" t="inlineStr">
        <is>
          <t>Arena / Municipal</t>
        </is>
      </c>
      <c r="C65" s="16" t="inlineStr">
        <is>
          <t>Lease horizon (months remaining)</t>
        </is>
      </c>
      <c r="D65" s="16" t="inlineStr">
        <is>
          <t>months</t>
        </is>
      </c>
      <c r="E65" s="78">
        <f>Assumptions!C75</f>
        <v/>
      </c>
      <c r="F65" s="78">
        <f>Assumptions!D75</f>
        <v/>
      </c>
      <c r="G65" s="78">
        <f>Assumptions!E75</f>
        <v/>
      </c>
      <c r="H65" s="78">
        <f>Assumptions!F75</f>
        <v/>
      </c>
      <c r="I65" s="78">
        <f>Assumptions!G75</f>
        <v/>
      </c>
      <c r="J65" s="78">
        <f>Assumptions!H75</f>
        <v/>
      </c>
      <c r="K65" s="16" t="inlineStr">
        <is>
          <t>Estimate</t>
        </is>
      </c>
      <c r="L65" s="16" t="inlineStr">
        <is>
          <t>Low</t>
        </is>
      </c>
      <c r="M65" s="16" t="inlineStr">
        <is>
          <t>Midway Rising timeline</t>
        </is>
      </c>
      <c r="N65" s="36" t="inlineStr">
        <is>
          <t>Directional planning metric only.</t>
        </is>
      </c>
    </row>
    <row r="66">
      <c r="A66" s="2" t="n">
        <v>59</v>
      </c>
      <c r="B66" s="16" t="inlineStr">
        <is>
          <t>Arena / Municipal</t>
        </is>
      </c>
      <c r="C66" s="16" t="inlineStr">
        <is>
          <t>Naming-rights tranche allocable to team ops</t>
        </is>
      </c>
      <c r="D66" s="16" t="inlineStr">
        <is>
          <t>$</t>
        </is>
      </c>
      <c r="E66" s="79">
        <f>Assumptions!C76</f>
        <v/>
      </c>
      <c r="F66" s="79">
        <f>Assumptions!D76</f>
        <v/>
      </c>
      <c r="G66" s="79">
        <f>Assumptions!E76</f>
        <v/>
      </c>
      <c r="H66" s="79">
        <f>Assumptions!F76</f>
        <v/>
      </c>
      <c r="I66" s="79">
        <f>Assumptions!G76</f>
        <v/>
      </c>
      <c r="J66" s="79">
        <f>Assumptions!H76</f>
        <v/>
      </c>
      <c r="K66" s="16" t="inlineStr">
        <is>
          <t>Estimate</t>
        </is>
      </c>
      <c r="L66" s="16" t="inlineStr">
        <is>
          <t>Low</t>
        </is>
      </c>
      <c r="M66" s="16" t="inlineStr">
        <is>
          <t>Model methodology</t>
        </is>
      </c>
      <c r="N66" s="36" t="inlineStr">
        <is>
          <t>Logical annual value attributed to team ops.</t>
        </is>
      </c>
    </row>
    <row r="67">
      <c r="A67" s="2" t="n">
        <v>60</v>
      </c>
      <c r="B67" s="16" t="inlineStr">
        <is>
          <t>Arena / Municipal</t>
        </is>
      </c>
      <c r="C67" s="16" t="inlineStr">
        <is>
          <t>Tax liability</t>
        </is>
      </c>
      <c r="D67" s="16" t="inlineStr">
        <is>
          <t>$</t>
        </is>
      </c>
      <c r="E67" s="79">
        <f>Assumptions!C77</f>
        <v/>
      </c>
      <c r="F67" s="79">
        <f>Assumptions!D77</f>
        <v/>
      </c>
      <c r="G67" s="79">
        <f>Assumptions!E77</f>
        <v/>
      </c>
      <c r="H67" s="79">
        <f>Assumptions!F77</f>
        <v/>
      </c>
      <c r="I67" s="79">
        <f>Assumptions!G77</f>
        <v/>
      </c>
      <c r="J67" s="79">
        <f>Assumptions!H77</f>
        <v/>
      </c>
      <c r="K67" s="16" t="inlineStr">
        <is>
          <t>Estimate</t>
        </is>
      </c>
      <c r="L67" s="16" t="inlineStr">
        <is>
          <t>Low</t>
        </is>
      </c>
      <c r="M67" s="16" t="inlineStr">
        <is>
          <t>Model methodology</t>
        </is>
      </c>
      <c r="N67" s="36" t="inlineStr">
        <is>
          <t>Nominal local tax placeholder.</t>
        </is>
      </c>
    </row>
    <row r="68">
      <c r="A68" s="2" t="n">
        <v>61</v>
      </c>
      <c r="B68" s="16" t="inlineStr">
        <is>
          <t>Arena / Municipal</t>
        </is>
      </c>
      <c r="C68" s="16" t="inlineStr">
        <is>
          <t>Debt-to-value ratio</t>
        </is>
      </c>
      <c r="D68" s="16" t="inlineStr">
        <is>
          <t>pct</t>
        </is>
      </c>
      <c r="E68" s="81">
        <f>Assumptions!C78</f>
        <v/>
      </c>
      <c r="F68" s="81">
        <f>Assumptions!D78</f>
        <v/>
      </c>
      <c r="G68" s="81">
        <f>Assumptions!E78</f>
        <v/>
      </c>
      <c r="H68" s="81">
        <f>Assumptions!F78</f>
        <v/>
      </c>
      <c r="I68" s="81">
        <f>Assumptions!G78</f>
        <v/>
      </c>
      <c r="J68" s="81">
        <f>Assumptions!H78</f>
        <v/>
      </c>
      <c r="K68" s="16" t="inlineStr">
        <is>
          <t>Estimate</t>
        </is>
      </c>
      <c r="L68" s="16" t="inlineStr">
        <is>
          <t>Low</t>
        </is>
      </c>
      <c r="M68" s="16" t="inlineStr">
        <is>
          <t>Model methodology</t>
        </is>
      </c>
      <c r="N68" s="36" t="inlineStr">
        <is>
          <t>Nominal placeholder only.</t>
        </is>
      </c>
    </row>
    <row r="69">
      <c r="A69" s="34" t="inlineStr">
        <is>
          <t>4. Hockey Ops, Organization &amp; Human Capital</t>
        </is>
      </c>
    </row>
    <row r="70">
      <c r="A70" s="2" t="n">
        <v>62</v>
      </c>
      <c r="B70" s="16" t="inlineStr">
        <is>
          <t>Human Capital</t>
        </is>
      </c>
      <c r="C70" s="16" t="inlineStr">
        <is>
          <t>Roster headcount</t>
        </is>
      </c>
      <c r="D70" s="16" t="inlineStr">
        <is>
          <t>players</t>
        </is>
      </c>
      <c r="E70" s="78">
        <f>Assumptions!C79</f>
        <v/>
      </c>
      <c r="F70" s="78">
        <f>Assumptions!D79</f>
        <v/>
      </c>
      <c r="G70" s="78">
        <f>Assumptions!E79</f>
        <v/>
      </c>
      <c r="H70" s="78">
        <f>Assumptions!F79</f>
        <v/>
      </c>
      <c r="I70" s="78">
        <f>Assumptions!G79</f>
        <v/>
      </c>
      <c r="J70" s="78">
        <f>Assumptions!H79</f>
        <v/>
      </c>
      <c r="K70" s="16" t="inlineStr">
        <is>
          <t>Public / projection</t>
        </is>
      </c>
      <c r="L70" s="16" t="inlineStr">
        <is>
          <t>Medium</t>
        </is>
      </c>
      <c r="M70" s="16" t="inlineStr">
        <is>
          <t>Official roster / game notes</t>
        </is>
      </c>
      <c r="N70" s="36" t="inlineStr">
        <is>
          <t>Opening-night/current roster anchor.</t>
        </is>
      </c>
    </row>
    <row r="71">
      <c r="A71" s="2" t="n">
        <v>63</v>
      </c>
      <c r="B71" s="16" t="inlineStr">
        <is>
          <t>Human Capital</t>
        </is>
      </c>
      <c r="C71" s="16" t="inlineStr">
        <is>
          <t>Coaching staff payroll</t>
        </is>
      </c>
      <c r="D71" s="16" t="inlineStr">
        <is>
          <t>$</t>
        </is>
      </c>
      <c r="E71" s="79">
        <f>Assumptions!C80</f>
        <v/>
      </c>
      <c r="F71" s="79">
        <f>Assumptions!D80</f>
        <v/>
      </c>
      <c r="G71" s="79">
        <f>Assumptions!E80</f>
        <v/>
      </c>
      <c r="H71" s="79">
        <f>Assumptions!F80</f>
        <v/>
      </c>
      <c r="I71" s="79">
        <f>Assumptions!G80</f>
        <v/>
      </c>
      <c r="J71" s="79">
        <f>Assumptions!H80</f>
        <v/>
      </c>
      <c r="K71" s="16" t="inlineStr">
        <is>
          <t>Estimate</t>
        </is>
      </c>
      <c r="L71" s="16" t="inlineStr">
        <is>
          <t>Low</t>
        </is>
      </c>
      <c r="M71" s="16" t="inlineStr">
        <is>
          <t>Model methodology</t>
        </is>
      </c>
      <c r="N71" s="36" t="inlineStr">
        <is>
          <t>Head coach + assistants + video support.</t>
        </is>
      </c>
    </row>
    <row r="72">
      <c r="A72" s="2" t="n">
        <v>64</v>
      </c>
      <c r="B72" s="16" t="inlineStr">
        <is>
          <t>Human Capital</t>
        </is>
      </c>
      <c r="C72" s="16" t="inlineStr">
        <is>
          <t>Front office FTE</t>
        </is>
      </c>
      <c r="D72" s="16" t="inlineStr">
        <is>
          <t>FTE</t>
        </is>
      </c>
      <c r="E72" s="78">
        <f>Assumptions!C81</f>
        <v/>
      </c>
      <c r="F72" s="78">
        <f>Assumptions!D81</f>
        <v/>
      </c>
      <c r="G72" s="78">
        <f>Assumptions!E81</f>
        <v/>
      </c>
      <c r="H72" s="78">
        <f>Assumptions!F81</f>
        <v/>
      </c>
      <c r="I72" s="78">
        <f>Assumptions!G81</f>
        <v/>
      </c>
      <c r="J72" s="78">
        <f>Assumptions!H81</f>
        <v/>
      </c>
      <c r="K72" s="16" t="inlineStr">
        <is>
          <t>Estimate</t>
        </is>
      </c>
      <c r="L72" s="16" t="inlineStr">
        <is>
          <t>Medium</t>
        </is>
      </c>
      <c r="M72" s="16" t="inlineStr">
        <is>
          <t>Official front office + LinkedIn</t>
        </is>
      </c>
      <c r="N72" s="36" t="inlineStr">
        <is>
          <t>Business / marketing / partnership staff estimate.</t>
        </is>
      </c>
    </row>
    <row r="73">
      <c r="A73" s="2" t="n">
        <v>65</v>
      </c>
      <c r="B73" s="16" t="inlineStr">
        <is>
          <t>Human Capital</t>
        </is>
      </c>
      <c r="C73" s="16" t="inlineStr">
        <is>
          <t>Medical / training tech spend</t>
        </is>
      </c>
      <c r="D73" s="16" t="inlineStr">
        <is>
          <t>$</t>
        </is>
      </c>
      <c r="E73" s="79">
        <f>Assumptions!C82</f>
        <v/>
      </c>
      <c r="F73" s="79">
        <f>Assumptions!D82</f>
        <v/>
      </c>
      <c r="G73" s="79">
        <f>Assumptions!E82</f>
        <v/>
      </c>
      <c r="H73" s="79">
        <f>Assumptions!F82</f>
        <v/>
      </c>
      <c r="I73" s="79">
        <f>Assumptions!G82</f>
        <v/>
      </c>
      <c r="J73" s="79">
        <f>Assumptions!H82</f>
        <v/>
      </c>
      <c r="K73" s="16" t="inlineStr">
        <is>
          <t>Estimate</t>
        </is>
      </c>
      <c r="L73" s="16" t="inlineStr">
        <is>
          <t>Low</t>
        </is>
      </c>
      <c r="M73" s="16" t="inlineStr">
        <is>
          <t>Model methodology</t>
        </is>
      </c>
      <c r="N73" s="36" t="inlineStr">
        <is>
          <t>Sports science / recovery allocation.</t>
        </is>
      </c>
    </row>
    <row r="74">
      <c r="A74" s="2" t="n">
        <v>66</v>
      </c>
      <c r="B74" s="16" t="inlineStr">
        <is>
          <t>Human Capital</t>
        </is>
      </c>
      <c r="C74" s="16" t="inlineStr">
        <is>
          <t>Travel logistics ratio (air-heavy)</t>
        </is>
      </c>
      <c r="D74" s="16" t="inlineStr">
        <is>
          <t>pct</t>
        </is>
      </c>
      <c r="E74" s="81">
        <f>Assumptions!C83</f>
        <v/>
      </c>
      <c r="F74" s="81">
        <f>Assumptions!D83</f>
        <v/>
      </c>
      <c r="G74" s="81">
        <f>Assumptions!E83</f>
        <v/>
      </c>
      <c r="H74" s="81">
        <f>Assumptions!F83</f>
        <v/>
      </c>
      <c r="I74" s="81">
        <f>Assumptions!G83</f>
        <v/>
      </c>
      <c r="J74" s="81">
        <f>Assumptions!H83</f>
        <v/>
      </c>
      <c r="K74" s="16" t="inlineStr">
        <is>
          <t>Estimate</t>
        </is>
      </c>
      <c r="L74" s="16" t="inlineStr">
        <is>
          <t>Low</t>
        </is>
      </c>
      <c r="M74" s="16" t="inlineStr">
        <is>
          <t>Model methodology</t>
        </is>
      </c>
      <c r="N74" s="36" t="inlineStr">
        <is>
          <t>Travel intensity ratio.</t>
        </is>
      </c>
    </row>
    <row r="75">
      <c r="A75" s="2" t="n">
        <v>67</v>
      </c>
      <c r="B75" s="16" t="inlineStr">
        <is>
          <t>Human Capital</t>
        </is>
      </c>
      <c r="C75" s="16" t="inlineStr">
        <is>
          <t>Player housing spend</t>
        </is>
      </c>
      <c r="D75" s="16" t="inlineStr">
        <is>
          <t>$</t>
        </is>
      </c>
      <c r="E75" s="79">
        <f>Assumptions!C84</f>
        <v/>
      </c>
      <c r="F75" s="79">
        <f>Assumptions!D84</f>
        <v/>
      </c>
      <c r="G75" s="79">
        <f>Assumptions!E84</f>
        <v/>
      </c>
      <c r="H75" s="79">
        <f>Assumptions!F84</f>
        <v/>
      </c>
      <c r="I75" s="79">
        <f>Assumptions!G84</f>
        <v/>
      </c>
      <c r="J75" s="79">
        <f>Assumptions!H84</f>
        <v/>
      </c>
      <c r="K75" s="16" t="inlineStr">
        <is>
          <t>Estimate</t>
        </is>
      </c>
      <c r="L75" s="16" t="inlineStr">
        <is>
          <t>Low</t>
        </is>
      </c>
      <c r="M75" s="16" t="inlineStr">
        <is>
          <t>Model methodology</t>
        </is>
      </c>
      <c r="N75" s="36" t="inlineStr">
        <is>
          <t>Local market housing support estimate.</t>
        </is>
      </c>
    </row>
    <row r="76">
      <c r="A76" s="2" t="n">
        <v>68</v>
      </c>
      <c r="B76" s="16" t="inlineStr">
        <is>
          <t>Human Capital</t>
        </is>
      </c>
      <c r="C76" s="16" t="inlineStr">
        <is>
          <t>AHL-only salary floor</t>
        </is>
      </c>
      <c r="D76" s="16" t="inlineStr">
        <is>
          <t>$</t>
        </is>
      </c>
      <c r="E76" s="79">
        <f>Assumptions!C85</f>
        <v/>
      </c>
      <c r="F76" s="79">
        <f>Assumptions!D85</f>
        <v/>
      </c>
      <c r="G76" s="79">
        <f>Assumptions!E85</f>
        <v/>
      </c>
      <c r="H76" s="79">
        <f>Assumptions!F85</f>
        <v/>
      </c>
      <c r="I76" s="79">
        <f>Assumptions!G85</f>
        <v/>
      </c>
      <c r="J76" s="79">
        <f>Assumptions!H85</f>
        <v/>
      </c>
      <c r="K76" s="16" t="inlineStr">
        <is>
          <t>Estimate / projection</t>
        </is>
      </c>
      <c r="L76" s="16" t="inlineStr">
        <is>
          <t>Medium</t>
        </is>
      </c>
      <c r="M76" s="16" t="inlineStr">
        <is>
          <t>PHPA / benchmark</t>
        </is>
      </c>
      <c r="N76" s="36" t="inlineStr">
        <is>
          <t>2024-25 visible minimum, other years stepped.</t>
        </is>
      </c>
    </row>
    <row r="77">
      <c r="A77" s="2" t="n">
        <v>69</v>
      </c>
      <c r="B77" s="16" t="inlineStr">
        <is>
          <t>Human Capital</t>
        </is>
      </c>
      <c r="C77" s="16" t="inlineStr">
        <is>
          <t>AHL-only average salary</t>
        </is>
      </c>
      <c r="D77" s="16" t="inlineStr">
        <is>
          <t>$</t>
        </is>
      </c>
      <c r="E77" s="79">
        <f>Assumptions!C86</f>
        <v/>
      </c>
      <c r="F77" s="79">
        <f>Assumptions!D86</f>
        <v/>
      </c>
      <c r="G77" s="79">
        <f>Assumptions!E86</f>
        <v/>
      </c>
      <c r="H77" s="79">
        <f>Assumptions!F86</f>
        <v/>
      </c>
      <c r="I77" s="79">
        <f>Assumptions!G86</f>
        <v/>
      </c>
      <c r="J77" s="79">
        <f>Assumptions!H86</f>
        <v/>
      </c>
      <c r="K77" s="16" t="inlineStr">
        <is>
          <t>Estimate</t>
        </is>
      </c>
      <c r="L77" s="16" t="inlineStr">
        <is>
          <t>Low</t>
        </is>
      </c>
      <c r="M77" s="16" t="inlineStr">
        <is>
          <t>Model methodology</t>
        </is>
      </c>
      <c r="N77" s="36" t="inlineStr">
        <is>
          <t>Modeled non-NHL salary average.</t>
        </is>
      </c>
    </row>
    <row r="78">
      <c r="A78" s="2" t="n">
        <v>70</v>
      </c>
      <c r="B78" s="16" t="inlineStr">
        <is>
          <t>Human Capital</t>
        </is>
      </c>
      <c r="C78" s="16" t="inlineStr">
        <is>
          <t>Insurance premiums</t>
        </is>
      </c>
      <c r="D78" s="16" t="inlineStr">
        <is>
          <t>$</t>
        </is>
      </c>
      <c r="E78" s="79">
        <f>Assumptions!C87</f>
        <v/>
      </c>
      <c r="F78" s="79">
        <f>Assumptions!D87</f>
        <v/>
      </c>
      <c r="G78" s="79">
        <f>Assumptions!E87</f>
        <v/>
      </c>
      <c r="H78" s="79">
        <f>Assumptions!F87</f>
        <v/>
      </c>
      <c r="I78" s="79">
        <f>Assumptions!G87</f>
        <v/>
      </c>
      <c r="J78" s="79">
        <f>Assumptions!H87</f>
        <v/>
      </c>
      <c r="K78" s="16" t="inlineStr">
        <is>
          <t>Estimate</t>
        </is>
      </c>
      <c r="L78" s="16" t="inlineStr">
        <is>
          <t>Low</t>
        </is>
      </c>
      <c r="M78" s="16" t="inlineStr">
        <is>
          <t>Model methodology</t>
        </is>
      </c>
      <c r="N78" s="36" t="inlineStr">
        <is>
          <t>Workers' comp / liability allocation.</t>
        </is>
      </c>
    </row>
    <row r="79">
      <c r="A79" s="2" t="n">
        <v>71</v>
      </c>
      <c r="B79" s="16" t="inlineStr">
        <is>
          <t>Human Capital</t>
        </is>
      </c>
      <c r="C79" s="16" t="inlineStr">
        <is>
          <t>Equipment lifecycle cost</t>
        </is>
      </c>
      <c r="D79" s="16" t="inlineStr">
        <is>
          <t>$</t>
        </is>
      </c>
      <c r="E79" s="79">
        <f>Assumptions!C88</f>
        <v/>
      </c>
      <c r="F79" s="79">
        <f>Assumptions!D88</f>
        <v/>
      </c>
      <c r="G79" s="79">
        <f>Assumptions!E88</f>
        <v/>
      </c>
      <c r="H79" s="79">
        <f>Assumptions!F88</f>
        <v/>
      </c>
      <c r="I79" s="79">
        <f>Assumptions!G88</f>
        <v/>
      </c>
      <c r="J79" s="79">
        <f>Assumptions!H88</f>
        <v/>
      </c>
      <c r="K79" s="16" t="inlineStr">
        <is>
          <t>Estimate</t>
        </is>
      </c>
      <c r="L79" s="16" t="inlineStr">
        <is>
          <t>Low</t>
        </is>
      </c>
      <c r="M79" s="16" t="inlineStr">
        <is>
          <t>Model methodology</t>
        </is>
      </c>
      <c r="N79" s="36" t="inlineStr">
        <is>
          <t>Annual equipment budget estimate.</t>
        </is>
      </c>
    </row>
    <row r="80">
      <c r="A80" s="2" t="n">
        <v>72</v>
      </c>
      <c r="B80" s="16" t="inlineStr">
        <is>
          <t>Human Capital</t>
        </is>
      </c>
      <c r="C80" s="16" t="inlineStr">
        <is>
          <t>Ducks prospects in San Diego</t>
        </is>
      </c>
      <c r="D80" s="16" t="inlineStr">
        <is>
          <t>players</t>
        </is>
      </c>
      <c r="E80" s="78">
        <f>Assumptions!C89</f>
        <v/>
      </c>
      <c r="F80" s="78">
        <f>Assumptions!D89</f>
        <v/>
      </c>
      <c r="G80" s="78">
        <f>Assumptions!E89</f>
        <v/>
      </c>
      <c r="H80" s="78">
        <f>Assumptions!F89</f>
        <v/>
      </c>
      <c r="I80" s="78">
        <f>Assumptions!G89</f>
        <v/>
      </c>
      <c r="J80" s="78">
        <f>Assumptions!H89</f>
        <v/>
      </c>
      <c r="K80" s="16" t="inlineStr">
        <is>
          <t>Estimate</t>
        </is>
      </c>
      <c r="L80" s="16" t="inlineStr">
        <is>
          <t>Low</t>
        </is>
      </c>
      <c r="M80" s="16" t="inlineStr">
        <is>
          <t>Official roster/game notes</t>
        </is>
      </c>
      <c r="N80" s="36" t="inlineStr">
        <is>
          <t>Approximate Ducks-controlled development pipeline.</t>
        </is>
      </c>
    </row>
    <row r="81">
      <c r="A81" s="34" t="inlineStr">
        <is>
          <t>5. Digital, Marketing &amp; Brand Equity</t>
        </is>
      </c>
    </row>
    <row r="82">
      <c r="A82" s="2" t="n">
        <v>73</v>
      </c>
      <c r="B82" s="16" t="inlineStr">
        <is>
          <t>Digital / Brand</t>
        </is>
      </c>
      <c r="C82" s="16" t="inlineStr">
        <is>
          <t>Email subscribers (estimated active)</t>
        </is>
      </c>
      <c r="D82" s="16" t="inlineStr">
        <is>
          <t>subs</t>
        </is>
      </c>
      <c r="E82" s="78">
        <f>Assumptions!C59</f>
        <v/>
      </c>
      <c r="F82" s="78">
        <f>Assumptions!D59</f>
        <v/>
      </c>
      <c r="G82" s="78">
        <f>Assumptions!E59</f>
        <v/>
      </c>
      <c r="H82" s="78">
        <f>Assumptions!F59</f>
        <v/>
      </c>
      <c r="I82" s="78">
        <f>Assumptions!G59</f>
        <v/>
      </c>
      <c r="J82" s="78">
        <f>Assumptions!H59</f>
        <v/>
      </c>
      <c r="K82" s="16" t="inlineStr">
        <is>
          <t>Estimate</t>
        </is>
      </c>
      <c r="L82" s="16" t="inlineStr">
        <is>
          <t>Low</t>
        </is>
      </c>
      <c r="M82" s="16" t="inlineStr">
        <is>
          <t>Model methodology</t>
        </is>
      </c>
      <c r="N82" s="36" t="inlineStr">
        <is>
          <t>Owned-contact base estimate.</t>
        </is>
      </c>
    </row>
    <row r="83">
      <c r="A83" s="2" t="n">
        <v>74</v>
      </c>
      <c r="B83" s="16" t="inlineStr">
        <is>
          <t>Digital / Brand</t>
        </is>
      </c>
      <c r="C83" s="16" t="inlineStr">
        <is>
          <t>Email database value per active subscriber</t>
        </is>
      </c>
      <c r="D83" s="16" t="inlineStr">
        <is>
          <t>$</t>
        </is>
      </c>
      <c r="E83" s="79">
        <f>Assumptions!C96</f>
        <v/>
      </c>
      <c r="F83" s="79">
        <f>Assumptions!D96</f>
        <v/>
      </c>
      <c r="G83" s="79">
        <f>Assumptions!E96</f>
        <v/>
      </c>
      <c r="H83" s="79">
        <f>Assumptions!F96</f>
        <v/>
      </c>
      <c r="I83" s="79">
        <f>Assumptions!G96</f>
        <v/>
      </c>
      <c r="J83" s="79">
        <f>Assumptions!H96</f>
        <v/>
      </c>
      <c r="K83" s="16" t="inlineStr">
        <is>
          <t>Control</t>
        </is>
      </c>
      <c r="L83" s="16" t="inlineStr">
        <is>
          <t>Medium</t>
        </is>
      </c>
      <c r="M83" s="16" t="inlineStr">
        <is>
          <t>User assumption</t>
        </is>
      </c>
      <c r="N83" s="36" t="inlineStr">
        <is>
          <t>User-directed valuation heuristic.</t>
        </is>
      </c>
    </row>
    <row r="84">
      <c r="A84" s="2" t="n">
        <v>75</v>
      </c>
      <c r="B84" s="16" t="inlineStr">
        <is>
          <t>Digital / Brand</t>
        </is>
      </c>
      <c r="C84" s="16" t="inlineStr">
        <is>
          <t>Email database value</t>
        </is>
      </c>
      <c r="D84" s="16" t="inlineStr">
        <is>
          <t>$</t>
        </is>
      </c>
      <c r="E84" s="80">
        <f>E82*E83</f>
        <v/>
      </c>
      <c r="F84" s="80">
        <f>F82*F83</f>
        <v/>
      </c>
      <c r="G84" s="80">
        <f>G82*G83</f>
        <v/>
      </c>
      <c r="H84" s="80">
        <f>H82*H83</f>
        <v/>
      </c>
      <c r="I84" s="80">
        <f>I82*I83</f>
        <v/>
      </c>
      <c r="J84" s="80">
        <f>J82*J83</f>
        <v/>
      </c>
      <c r="K84" s="16" t="inlineStr">
        <is>
          <t>Derived</t>
        </is>
      </c>
      <c r="L84" s="16" t="inlineStr">
        <is>
          <t>Low</t>
        </is>
      </c>
      <c r="M84" s="16" t="inlineStr">
        <is>
          <t>Email subs × $5 heuristic</t>
        </is>
      </c>
      <c r="N84" s="36" t="inlineStr">
        <is>
          <t>Simple database value proxy.</t>
        </is>
      </c>
    </row>
    <row r="85">
      <c r="A85" s="2" t="n">
        <v>76</v>
      </c>
      <c r="B85" s="16" t="inlineStr">
        <is>
          <t>Digital / Brand</t>
        </is>
      </c>
      <c r="C85" s="16" t="inlineStr">
        <is>
          <t>Social audience (aggregate est.)</t>
        </is>
      </c>
      <c r="D85" s="16" t="inlineStr">
        <is>
          <t>followers</t>
        </is>
      </c>
      <c r="E85" s="78">
        <f>Assumptions!C60</f>
        <v/>
      </c>
      <c r="F85" s="78">
        <f>Assumptions!D60</f>
        <v/>
      </c>
      <c r="G85" s="78">
        <f>Assumptions!E60</f>
        <v/>
      </c>
      <c r="H85" s="78">
        <f>Assumptions!F60</f>
        <v/>
      </c>
      <c r="I85" s="78">
        <f>Assumptions!G60</f>
        <v/>
      </c>
      <c r="J85" s="78">
        <f>Assumptions!H60</f>
        <v/>
      </c>
      <c r="K85" s="16" t="inlineStr">
        <is>
          <t>Estimate</t>
        </is>
      </c>
      <c r="L85" s="16" t="inlineStr">
        <is>
          <t>Low</t>
        </is>
      </c>
      <c r="M85" s="16" t="inlineStr">
        <is>
          <t>Public social snippets</t>
        </is>
      </c>
      <c r="N85" s="36" t="inlineStr">
        <is>
          <t>Approximate total audience across major platforms.</t>
        </is>
      </c>
    </row>
    <row r="86">
      <c r="A86" s="2" t="n">
        <v>77</v>
      </c>
      <c r="B86" s="16" t="inlineStr">
        <is>
          <t>Digital / Brand</t>
        </is>
      </c>
      <c r="C86" s="16" t="inlineStr">
        <is>
          <t>Website monthly visits</t>
        </is>
      </c>
      <c r="D86" s="16" t="inlineStr">
        <is>
          <t>visits</t>
        </is>
      </c>
      <c r="E86" s="78">
        <f>Assumptions!C61</f>
        <v/>
      </c>
      <c r="F86" s="78">
        <f>Assumptions!D61</f>
        <v/>
      </c>
      <c r="G86" s="78">
        <f>Assumptions!E61</f>
        <v/>
      </c>
      <c r="H86" s="78">
        <f>Assumptions!F61</f>
        <v/>
      </c>
      <c r="I86" s="78">
        <f>Assumptions!G61</f>
        <v/>
      </c>
      <c r="J86" s="78">
        <f>Assumptions!H61</f>
        <v/>
      </c>
      <c r="K86" s="16" t="inlineStr">
        <is>
          <t>Estimate / projection</t>
        </is>
      </c>
      <c r="L86" s="16" t="inlineStr">
        <is>
          <t>Medium</t>
        </is>
      </c>
      <c r="M86" s="16" t="inlineStr">
        <is>
          <t>Similarweb</t>
        </is>
      </c>
      <c r="N86" s="36" t="inlineStr">
        <is>
          <t>Current-year anchor plus historical trend/projection.</t>
        </is>
      </c>
    </row>
    <row r="87">
      <c r="A87" s="2" t="n">
        <v>78</v>
      </c>
      <c r="B87" s="16" t="inlineStr">
        <is>
          <t>Digital / Brand</t>
        </is>
      </c>
      <c r="C87" s="16" t="inlineStr">
        <is>
          <t>Bounce rate</t>
        </is>
      </c>
      <c r="D87" s="16" t="inlineStr">
        <is>
          <t>pct</t>
        </is>
      </c>
      <c r="E87" s="81">
        <f>Assumptions!C62</f>
        <v/>
      </c>
      <c r="F87" s="81">
        <f>Assumptions!D62</f>
        <v/>
      </c>
      <c r="G87" s="81">
        <f>Assumptions!E62</f>
        <v/>
      </c>
      <c r="H87" s="81">
        <f>Assumptions!F62</f>
        <v/>
      </c>
      <c r="I87" s="81">
        <f>Assumptions!G62</f>
        <v/>
      </c>
      <c r="J87" s="81">
        <f>Assumptions!H62</f>
        <v/>
      </c>
      <c r="K87" s="16" t="inlineStr">
        <is>
          <t>Estimate / projection</t>
        </is>
      </c>
      <c r="L87" s="16" t="inlineStr">
        <is>
          <t>Medium</t>
        </is>
      </c>
      <c r="M87" s="16" t="inlineStr">
        <is>
          <t>Similarweb</t>
        </is>
      </c>
      <c r="N87" s="36" t="inlineStr">
        <is>
          <t>Current-year anchor plus trend.</t>
        </is>
      </c>
    </row>
    <row r="88">
      <c r="A88" s="2" t="n">
        <v>79</v>
      </c>
      <c r="B88" s="16" t="inlineStr">
        <is>
          <t>Digital / Brand</t>
        </is>
      </c>
      <c r="C88" s="16" t="inlineStr">
        <is>
          <t>Pages per visit</t>
        </is>
      </c>
      <c r="D88" s="16" t="inlineStr">
        <is>
          <t>pages</t>
        </is>
      </c>
      <c r="E88" s="45">
        <f>Assumptions!C63</f>
        <v/>
      </c>
      <c r="F88" s="45">
        <f>Assumptions!D63</f>
        <v/>
      </c>
      <c r="G88" s="45">
        <f>Assumptions!E63</f>
        <v/>
      </c>
      <c r="H88" s="45">
        <f>Assumptions!F63</f>
        <v/>
      </c>
      <c r="I88" s="45">
        <f>Assumptions!G63</f>
        <v/>
      </c>
      <c r="J88" s="45">
        <f>Assumptions!H63</f>
        <v/>
      </c>
      <c r="K88" s="16" t="inlineStr">
        <is>
          <t>Estimate / projection</t>
        </is>
      </c>
      <c r="L88" s="16" t="inlineStr">
        <is>
          <t>Medium</t>
        </is>
      </c>
      <c r="M88" s="16" t="inlineStr">
        <is>
          <t>Similarweb</t>
        </is>
      </c>
      <c r="N88" s="36" t="inlineStr">
        <is>
          <t>Current-year anchor plus trend.</t>
        </is>
      </c>
    </row>
    <row r="89">
      <c r="A89" s="2" t="n">
        <v>80</v>
      </c>
      <c r="B89" s="16" t="inlineStr">
        <is>
          <t>Digital / Brand</t>
        </is>
      </c>
      <c r="C89" s="16" t="inlineStr">
        <is>
          <t>Average visit duration (sec)</t>
        </is>
      </c>
      <c r="D89" s="16" t="inlineStr">
        <is>
          <t>sec</t>
        </is>
      </c>
      <c r="E89" s="45">
        <f>Assumptions!C64</f>
        <v/>
      </c>
      <c r="F89" s="45">
        <f>Assumptions!D64</f>
        <v/>
      </c>
      <c r="G89" s="45">
        <f>Assumptions!E64</f>
        <v/>
      </c>
      <c r="H89" s="45">
        <f>Assumptions!F64</f>
        <v/>
      </c>
      <c r="I89" s="45">
        <f>Assumptions!G64</f>
        <v/>
      </c>
      <c r="J89" s="45">
        <f>Assumptions!H64</f>
        <v/>
      </c>
      <c r="K89" s="16" t="inlineStr">
        <is>
          <t>Estimate / projection</t>
        </is>
      </c>
      <c r="L89" s="16" t="inlineStr">
        <is>
          <t>Medium</t>
        </is>
      </c>
      <c r="M89" s="16" t="inlineStr">
        <is>
          <t>Similarweb</t>
        </is>
      </c>
      <c r="N89" s="36" t="inlineStr">
        <is>
          <t>Current-year anchor plus trend.</t>
        </is>
      </c>
    </row>
    <row r="90">
      <c r="A90" s="2" t="n">
        <v>81</v>
      </c>
      <c r="B90" s="16" t="inlineStr">
        <is>
          <t>Digital / Brand</t>
        </is>
      </c>
      <c r="C90" s="16" t="inlineStr">
        <is>
          <t>Organic search share</t>
        </is>
      </c>
      <c r="D90" s="16" t="inlineStr">
        <is>
          <t>pct</t>
        </is>
      </c>
      <c r="E90" s="81">
        <f>Assumptions!C65</f>
        <v/>
      </c>
      <c r="F90" s="81">
        <f>Assumptions!D65</f>
        <v/>
      </c>
      <c r="G90" s="81">
        <f>Assumptions!E65</f>
        <v/>
      </c>
      <c r="H90" s="81">
        <f>Assumptions!F65</f>
        <v/>
      </c>
      <c r="I90" s="81">
        <f>Assumptions!G65</f>
        <v/>
      </c>
      <c r="J90" s="81">
        <f>Assumptions!H65</f>
        <v/>
      </c>
      <c r="K90" s="16" t="inlineStr">
        <is>
          <t>Estimate / projection</t>
        </is>
      </c>
      <c r="L90" s="16" t="inlineStr">
        <is>
          <t>Medium</t>
        </is>
      </c>
      <c r="M90" s="16" t="inlineStr">
        <is>
          <t>Similarweb</t>
        </is>
      </c>
      <c r="N90" s="36" t="inlineStr">
        <is>
          <t>Current-year anchor plus trend.</t>
        </is>
      </c>
    </row>
    <row r="91">
      <c r="A91" s="2" t="n">
        <v>82</v>
      </c>
      <c r="B91" s="16" t="inlineStr">
        <is>
          <t>Digital / Brand</t>
        </is>
      </c>
      <c r="C91" s="16" t="inlineStr">
        <is>
          <t>Customer acquisition cost</t>
        </is>
      </c>
      <c r="D91" s="16" t="inlineStr">
        <is>
          <t>$</t>
        </is>
      </c>
      <c r="E91" s="79">
        <f>Assumptions!C66</f>
        <v/>
      </c>
      <c r="F91" s="79">
        <f>Assumptions!D66</f>
        <v/>
      </c>
      <c r="G91" s="79">
        <f>Assumptions!E66</f>
        <v/>
      </c>
      <c r="H91" s="79">
        <f>Assumptions!F66</f>
        <v/>
      </c>
      <c r="I91" s="79">
        <f>Assumptions!G66</f>
        <v/>
      </c>
      <c r="J91" s="79">
        <f>Assumptions!H66</f>
        <v/>
      </c>
      <c r="K91" s="16" t="inlineStr">
        <is>
          <t>Estimate</t>
        </is>
      </c>
      <c r="L91" s="16" t="inlineStr">
        <is>
          <t>Low</t>
        </is>
      </c>
      <c r="M91" s="16" t="inlineStr">
        <is>
          <t>Model methodology</t>
        </is>
      </c>
      <c r="N91" s="36" t="inlineStr">
        <is>
          <t>Per-new-buyer marketing cost estimate.</t>
        </is>
      </c>
    </row>
    <row r="92">
      <c r="A92" s="2" t="n">
        <v>83</v>
      </c>
      <c r="B92" s="16" t="inlineStr">
        <is>
          <t>Digital / Brand</t>
        </is>
      </c>
      <c r="C92" s="16" t="inlineStr">
        <is>
          <t>Net promoter score</t>
        </is>
      </c>
      <c r="D92" s="16" t="inlineStr">
        <is>
          <t>pts</t>
        </is>
      </c>
      <c r="E92" s="78">
        <f>Assumptions!C67</f>
        <v/>
      </c>
      <c r="F92" s="78">
        <f>Assumptions!D67</f>
        <v/>
      </c>
      <c r="G92" s="78">
        <f>Assumptions!E67</f>
        <v/>
      </c>
      <c r="H92" s="78">
        <f>Assumptions!F67</f>
        <v/>
      </c>
      <c r="I92" s="78">
        <f>Assumptions!G67</f>
        <v/>
      </c>
      <c r="J92" s="78">
        <f>Assumptions!H67</f>
        <v/>
      </c>
      <c r="K92" s="16" t="inlineStr">
        <is>
          <t>Estimate</t>
        </is>
      </c>
      <c r="L92" s="16" t="inlineStr">
        <is>
          <t>Low</t>
        </is>
      </c>
      <c r="M92" s="16" t="inlineStr">
        <is>
          <t>Model methodology</t>
        </is>
      </c>
      <c r="N92" s="36" t="inlineStr">
        <is>
          <t>Sentiment proxy, not official survey.</t>
        </is>
      </c>
    </row>
    <row r="93">
      <c r="A93" s="2" t="n">
        <v>84</v>
      </c>
      <c r="B93" s="16" t="inlineStr">
        <is>
          <t>Digital / Brand</t>
        </is>
      </c>
      <c r="C93" s="16" t="inlineStr">
        <is>
          <t>Foundation asset base</t>
        </is>
      </c>
      <c r="D93" s="16" t="inlineStr">
        <is>
          <t>$</t>
        </is>
      </c>
      <c r="E93" s="79">
        <f>Assumptions!C92</f>
        <v/>
      </c>
      <c r="F93" s="79">
        <f>Assumptions!D92</f>
        <v/>
      </c>
      <c r="G93" s="79">
        <f>Assumptions!E92</f>
        <v/>
      </c>
      <c r="H93" s="79">
        <f>Assumptions!F92</f>
        <v/>
      </c>
      <c r="I93" s="79">
        <f>Assumptions!G92</f>
        <v/>
      </c>
      <c r="J93" s="79">
        <f>Assumptions!H92</f>
        <v/>
      </c>
      <c r="K93" s="16" t="inlineStr">
        <is>
          <t>Estimate</t>
        </is>
      </c>
      <c r="L93" s="16" t="inlineStr">
        <is>
          <t>Low</t>
        </is>
      </c>
      <c r="M93" s="16" t="inlineStr">
        <is>
          <t>Official foundation giving + model</t>
        </is>
      </c>
      <c r="N93" s="36" t="inlineStr">
        <is>
          <t>Logical asset placeholder.</t>
        </is>
      </c>
    </row>
    <row r="94">
      <c r="A94" s="2" t="n">
        <v>85</v>
      </c>
      <c r="B94" s="16" t="inlineStr">
        <is>
          <t>Digital / Brand</t>
        </is>
      </c>
      <c r="C94" s="16" t="inlineStr">
        <is>
          <t>Affiliate synergy value</t>
        </is>
      </c>
      <c r="D94" s="16" t="inlineStr">
        <is>
          <t>$</t>
        </is>
      </c>
      <c r="E94" s="79">
        <f>Assumptions!C93</f>
        <v/>
      </c>
      <c r="F94" s="79">
        <f>Assumptions!D93</f>
        <v/>
      </c>
      <c r="G94" s="79">
        <f>Assumptions!E93</f>
        <v/>
      </c>
      <c r="H94" s="79">
        <f>Assumptions!F93</f>
        <v/>
      </c>
      <c r="I94" s="79">
        <f>Assumptions!G93</f>
        <v/>
      </c>
      <c r="J94" s="79">
        <f>Assumptions!H93</f>
        <v/>
      </c>
      <c r="K94" s="16" t="inlineStr">
        <is>
          <t>Estimate</t>
        </is>
      </c>
      <c r="L94" s="16" t="inlineStr">
        <is>
          <t>Low</t>
        </is>
      </c>
      <c r="M94" s="16" t="inlineStr">
        <is>
          <t>Model methodology</t>
        </is>
      </c>
      <c r="N94" s="36" t="inlineStr">
        <is>
          <t>Ducks ecosystem cross-promotional value.</t>
        </is>
      </c>
    </row>
    <row r="95">
      <c r="A95" s="2" t="n">
        <v>86</v>
      </c>
      <c r="B95" s="16" t="inlineStr">
        <is>
          <t>Digital / Brand</t>
        </is>
      </c>
      <c r="C95" s="16" t="inlineStr">
        <is>
          <t>Trademark / brand asset value</t>
        </is>
      </c>
      <c r="D95" s="16" t="inlineStr">
        <is>
          <t>$</t>
        </is>
      </c>
      <c r="E95" s="79">
        <f>Assumptions!C94</f>
        <v/>
      </c>
      <c r="F95" s="79">
        <f>Assumptions!D94</f>
        <v/>
      </c>
      <c r="G95" s="79">
        <f>Assumptions!E94</f>
        <v/>
      </c>
      <c r="H95" s="79">
        <f>Assumptions!F94</f>
        <v/>
      </c>
      <c r="I95" s="79">
        <f>Assumptions!G94</f>
        <v/>
      </c>
      <c r="J95" s="79">
        <f>Assumptions!H94</f>
        <v/>
      </c>
      <c r="K95" s="16" t="inlineStr">
        <is>
          <t>Estimate</t>
        </is>
      </c>
      <c r="L95" s="16" t="inlineStr">
        <is>
          <t>Low</t>
        </is>
      </c>
      <c r="M95" s="16" t="inlineStr">
        <is>
          <t>Model methodology</t>
        </is>
      </c>
      <c r="N95" s="36" t="inlineStr">
        <is>
          <t>Logical brand asset placeholder.</t>
        </is>
      </c>
    </row>
    <row r="96">
      <c r="A96" s="34" t="inlineStr">
        <is>
          <t>6. Profitability, Efficiency &amp; Valuation</t>
        </is>
      </c>
    </row>
    <row r="97">
      <c r="A97" s="2" t="n">
        <v>87</v>
      </c>
      <c r="B97" s="16" t="inlineStr">
        <is>
          <t>Valuation</t>
        </is>
      </c>
      <c r="C97" s="16" t="inlineStr">
        <is>
          <t>EBITDA margin</t>
        </is>
      </c>
      <c r="D97" s="16" t="inlineStr">
        <is>
          <t>pct</t>
        </is>
      </c>
      <c r="E97" s="83">
        <f>IFERROR(E98/E52,0)</f>
        <v/>
      </c>
      <c r="F97" s="83">
        <f>IFERROR(F98/F52,0)</f>
        <v/>
      </c>
      <c r="G97" s="83">
        <f>IFERROR(G98/G52,0)</f>
        <v/>
      </c>
      <c r="H97" s="83">
        <f>IFERROR(H98/H52,0)</f>
        <v/>
      </c>
      <c r="I97" s="83">
        <f>IFERROR(I98/I52,0)</f>
        <v/>
      </c>
      <c r="J97" s="83">
        <f>IFERROR(J98/J52,0)</f>
        <v/>
      </c>
      <c r="K97" s="16" t="inlineStr">
        <is>
          <t>Derived</t>
        </is>
      </c>
      <c r="L97" s="16" t="inlineStr">
        <is>
          <t>Medium</t>
        </is>
      </c>
      <c r="M97" s="16" t="inlineStr">
        <is>
          <t>Modeled margin from cost stack</t>
        </is>
      </c>
      <c r="N97" s="36" t="inlineStr">
        <is>
          <t>Calculated from EBITDA ÷ gross revenue.</t>
        </is>
      </c>
    </row>
    <row r="98">
      <c r="A98" s="40" t="n">
        <v>88</v>
      </c>
      <c r="B98" s="41" t="inlineStr">
        <is>
          <t>Valuation</t>
        </is>
      </c>
      <c r="C98" s="42" t="inlineStr">
        <is>
          <t>EBITDA</t>
        </is>
      </c>
      <c r="D98" s="41" t="inlineStr">
        <is>
          <t>$</t>
        </is>
      </c>
      <c r="E98" s="82">
        <f>IFERROR(E52-E99,0)</f>
        <v/>
      </c>
      <c r="F98" s="82">
        <f>IFERROR(F52-F99,0)</f>
        <v/>
      </c>
      <c r="G98" s="82">
        <f>IFERROR(G52-G99,0)</f>
        <v/>
      </c>
      <c r="H98" s="82">
        <f>IFERROR(H52-H99,0)</f>
        <v/>
      </c>
      <c r="I98" s="82">
        <f>IFERROR(I52-I99,0)</f>
        <v/>
      </c>
      <c r="J98" s="82">
        <f>IFERROR(J52-J99,0)</f>
        <v/>
      </c>
      <c r="K98" s="41" t="inlineStr">
        <is>
          <t>Derived</t>
        </is>
      </c>
      <c r="L98" s="41" t="inlineStr">
        <is>
          <t>Medium</t>
        </is>
      </c>
      <c r="M98" s="41" t="inlineStr">
        <is>
          <t>Gross revenue less modeled operating cost stack</t>
        </is>
      </c>
      <c r="N98" s="44" t="inlineStr">
        <is>
          <t>Operating earnings proxy excluding parent subsidy.</t>
        </is>
      </c>
    </row>
    <row r="99">
      <c r="A99" s="40" t="n">
        <v>89</v>
      </c>
      <c r="B99" s="41" t="inlineStr">
        <is>
          <t>Valuation</t>
        </is>
      </c>
      <c r="C99" s="41" t="inlineStr">
        <is>
          <t>Operating expenses (modeled)</t>
        </is>
      </c>
      <c r="D99" s="41" t="inlineStr">
        <is>
          <t>$</t>
        </is>
      </c>
      <c r="E99" s="82">
        <f>ROUND(E58+E61+E62+E63+E71+(E72*90000)+E73+E75+E78+E79+E67+(E52*0.22),0)</f>
        <v/>
      </c>
      <c r="F99" s="82">
        <f>ROUND(F58+F61+F62+F63+F71+(F72*90000)+F73+F75+F78+F79+F67+(F52*0.22),0)</f>
        <v/>
      </c>
      <c r="G99" s="82">
        <f>ROUND(G58+G61+G62+G63+G71+(G72*90000)+G73+G75+G78+G79+G67+(G52*0.22),0)</f>
        <v/>
      </c>
      <c r="H99" s="82">
        <f>ROUND(H58+H61+H62+H63+H71+(H72*90000)+H73+H75+H78+H79+H67+(H52*0.22),0)</f>
        <v/>
      </c>
      <c r="I99" s="82">
        <f>ROUND(I58+I61+I62+I63+I71+(I72*90000)+I73+I75+I78+I79+I67+(I52*0.22),0)</f>
        <v/>
      </c>
      <c r="J99" s="82">
        <f>ROUND(J58+J61+J62+J63+J71+(J72*90000)+J73+J75+J78+J79+J67+(J52*0.22),0)</f>
        <v/>
      </c>
      <c r="K99" s="41" t="inlineStr">
        <is>
          <t>Derived</t>
        </is>
      </c>
      <c r="L99" s="41" t="inlineStr">
        <is>
          <t>Medium</t>
        </is>
      </c>
      <c r="M99" s="41" t="inlineStr">
        <is>
          <t>Modeled cost stack</t>
        </is>
      </c>
      <c r="N99" s="44" t="inlineStr">
        <is>
          <t>Includes base rent, security, utilities, load-in, coaching, FO, medical, travel/housing proxy, insurance, equipment, tax, and other overhead.</t>
        </is>
      </c>
    </row>
    <row r="100">
      <c r="A100" s="2" t="n">
        <v>90</v>
      </c>
      <c r="B100" s="16" t="inlineStr">
        <is>
          <t>Valuation</t>
        </is>
      </c>
      <c r="C100" s="16" t="inlineStr">
        <is>
          <t>Operating expense ratio</t>
        </is>
      </c>
      <c r="D100" s="16" t="inlineStr">
        <is>
          <t>pct</t>
        </is>
      </c>
      <c r="E100" s="83">
        <f>IFERROR(E99/E52,0)</f>
        <v/>
      </c>
      <c r="F100" s="83">
        <f>IFERROR(F99/F52,0)</f>
        <v/>
      </c>
      <c r="G100" s="83">
        <f>IFERROR(G99/G52,0)</f>
        <v/>
      </c>
      <c r="H100" s="83">
        <f>IFERROR(H99/H52,0)</f>
        <v/>
      </c>
      <c r="I100" s="83">
        <f>IFERROR(I99/I52,0)</f>
        <v/>
      </c>
      <c r="J100" s="83">
        <f>IFERROR(J99/J52,0)</f>
        <v/>
      </c>
      <c r="K100" s="16" t="inlineStr">
        <is>
          <t>Derived</t>
        </is>
      </c>
      <c r="L100" s="16" t="inlineStr">
        <is>
          <t>Medium</t>
        </is>
      </c>
      <c r="M100" s="16" t="inlineStr">
        <is>
          <t>OpEx ÷ gross revenue</t>
        </is>
      </c>
      <c r="N100" s="36" t="inlineStr">
        <is>
          <t>Team-level modeled expense ratio.</t>
        </is>
      </c>
    </row>
    <row r="101">
      <c r="A101" s="2" t="n">
        <v>91</v>
      </c>
      <c r="B101" s="16" t="inlineStr">
        <is>
          <t>Valuation</t>
        </is>
      </c>
      <c r="C101" s="16" t="inlineStr">
        <is>
          <t>Revenue multiple</t>
        </is>
      </c>
      <c r="D101" s="16" t="inlineStr">
        <is>
          <t>x</t>
        </is>
      </c>
      <c r="E101" s="47">
        <f>Assumptions!C95</f>
        <v/>
      </c>
      <c r="F101" s="47">
        <f>Assumptions!D95</f>
        <v/>
      </c>
      <c r="G101" s="47">
        <f>Assumptions!E95</f>
        <v/>
      </c>
      <c r="H101" s="47">
        <f>Assumptions!F95</f>
        <v/>
      </c>
      <c r="I101" s="47">
        <f>Assumptions!G95</f>
        <v/>
      </c>
      <c r="J101" s="47">
        <f>Assumptions!H95</f>
        <v/>
      </c>
      <c r="K101" s="16" t="inlineStr">
        <is>
          <t>Control</t>
        </is>
      </c>
      <c r="L101" s="16" t="inlineStr">
        <is>
          <t>Medium</t>
        </is>
      </c>
      <c r="M101" s="16" t="inlineStr">
        <is>
          <t>User assumption</t>
        </is>
      </c>
      <c r="N101" s="36" t="inlineStr">
        <is>
          <t>Valuation multiple.</t>
        </is>
      </c>
    </row>
    <row r="102">
      <c r="A102" s="40" t="n">
        <v>92</v>
      </c>
      <c r="B102" s="41" t="inlineStr">
        <is>
          <t>Valuation</t>
        </is>
      </c>
      <c r="C102" s="42" t="inlineStr">
        <is>
          <t>Implied franchise valuation</t>
        </is>
      </c>
      <c r="D102" s="41" t="inlineStr">
        <is>
          <t>$</t>
        </is>
      </c>
      <c r="E102" s="82">
        <f>IFERROR(E52*E101,0)</f>
        <v/>
      </c>
      <c r="F102" s="82">
        <f>IFERROR(F52*F101,0)</f>
        <v/>
      </c>
      <c r="G102" s="82">
        <f>IFERROR(G52*G101,0)</f>
        <v/>
      </c>
      <c r="H102" s="82">
        <f>IFERROR(H52*H101,0)</f>
        <v/>
      </c>
      <c r="I102" s="82">
        <f>IFERROR(I52*I101,0)</f>
        <v/>
      </c>
      <c r="J102" s="82">
        <f>IFERROR(J52*J101,0)</f>
        <v/>
      </c>
      <c r="K102" s="41" t="inlineStr">
        <is>
          <t>Derived</t>
        </is>
      </c>
      <c r="L102" s="41" t="inlineStr">
        <is>
          <t>Medium</t>
        </is>
      </c>
      <c r="M102" s="41" t="inlineStr">
        <is>
          <t>Gross revenue × 3.2x multiple</t>
        </is>
      </c>
      <c r="N102" s="44" t="inlineStr">
        <is>
          <t>User-specified multiple applied to gross revenue.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94"/>
  <mergeCells count="8">
    <mergeCell ref="A55:N55"/>
    <mergeCell ref="A69:N69"/>
    <mergeCell ref="A96:N96"/>
    <mergeCell ref="A2:N2"/>
    <mergeCell ref="A30:N30"/>
    <mergeCell ref="A81:N81"/>
    <mergeCell ref="A5:N5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7" customWidth="1" min="4" max="4"/>
    <col width="54" customWidth="1" min="5" max="5"/>
    <col width="18" customWidth="1" min="6" max="6"/>
    <col width="18" customWidth="1" min="7" max="7"/>
    <col width="22" customWidth="1" min="8" max="8"/>
    <col width="16" customWidth="1" min="9" max="9"/>
    <col width="22" customWidth="1" min="10" max="10"/>
    <col width="14" customWidth="1" min="11" max="11"/>
    <col width="18" customWidth="1" min="12" max="12"/>
    <col width="14" customWidth="1" min="13" max="13"/>
    <col width="14" customWidth="1" min="14" max="14"/>
  </cols>
  <sheetData>
    <row r="1">
      <c r="A1" s="149" t="inlineStr">
        <is>
          <t>2026-27 Scenario One-Page Assessment</t>
        </is>
      </c>
      <c r="O1" s="110" t="n"/>
      <c r="P1" s="110" t="n"/>
    </row>
    <row r="2">
      <c r="A2" s="93" t="inlineStr">
        <is>
          <t>Interactive planning tab: selected scenario drives the full workbook; this page shows the levers that move revenue, EBITDA, valuation, and demand.</t>
        </is>
      </c>
      <c r="O2" s="110" t="n"/>
      <c r="P2" s="110" t="n"/>
    </row>
    <row r="3">
      <c r="A3" s="128" t="inlineStr">
        <is>
          <t>Selected Revenue</t>
        </is>
      </c>
      <c r="B3" s="113" t="n"/>
      <c r="C3" s="114" t="n"/>
      <c r="D3" s="128" t="inlineStr">
        <is>
          <t>Selected EBITDA</t>
        </is>
      </c>
      <c r="E3" s="113" t="n"/>
      <c r="F3" s="114" t="n"/>
      <c r="G3" s="128" t="inlineStr">
        <is>
          <t>Selected Valuation</t>
        </is>
      </c>
      <c r="H3" s="113" t="n"/>
      <c r="I3" s="114" t="n"/>
      <c r="J3" s="128" t="inlineStr">
        <is>
          <t>Selected Attendance</t>
        </is>
      </c>
      <c r="K3" s="113" t="n"/>
      <c r="L3" s="114" t="n"/>
      <c r="M3" s="94" t="inlineStr">
        <is>
          <t>Scenario</t>
        </is>
      </c>
      <c r="N3" s="91" t="n"/>
      <c r="O3" s="110" t="n"/>
      <c r="P3" s="110" t="n"/>
    </row>
    <row r="4">
      <c r="A4" s="177">
        <f>IFERROR(Master_Model!$J$52,0)</f>
        <v/>
      </c>
      <c r="B4" s="178" t="n"/>
      <c r="C4" s="167" t="n"/>
      <c r="D4" s="177">
        <f>IFERROR(Master_Model!$J$98,0)</f>
        <v/>
      </c>
      <c r="E4" s="178" t="n"/>
      <c r="F4" s="167" t="n"/>
      <c r="G4" s="177">
        <f>IFERROR(Master_Model!$J$102,0)</f>
        <v/>
      </c>
      <c r="H4" s="178" t="n"/>
      <c r="I4" s="167" t="n"/>
      <c r="J4" s="151">
        <f>IFERROR(Master_Model!$J$6,0)</f>
        <v/>
      </c>
      <c r="K4" s="178" t="n"/>
      <c r="L4" s="167" t="n"/>
      <c r="M4" s="96">
        <f>Executive_Dashboard!$C$3</f>
        <v/>
      </c>
      <c r="N4" s="91" t="n"/>
      <c r="O4" s="110" t="n"/>
      <c r="P4" s="110" t="n"/>
    </row>
    <row r="5">
      <c r="A5" s="168" t="n"/>
      <c r="C5" s="169" t="n"/>
      <c r="D5" s="168" t="n"/>
      <c r="F5" s="169" t="n"/>
      <c r="G5" s="168" t="n"/>
      <c r="I5" s="169" t="n"/>
      <c r="J5" s="168" t="n"/>
      <c r="L5" s="169" t="n"/>
      <c r="M5" s="91" t="n"/>
      <c r="N5" s="91" t="n"/>
      <c r="O5" s="110" t="n"/>
      <c r="P5" s="110" t="n"/>
    </row>
    <row r="6">
      <c r="A6" s="168" t="n"/>
      <c r="C6" s="169" t="n"/>
      <c r="D6" s="168" t="n"/>
      <c r="F6" s="169" t="n"/>
      <c r="G6" s="168" t="n"/>
      <c r="I6" s="169" t="n"/>
      <c r="J6" s="168" t="n"/>
      <c r="L6" s="169" t="n"/>
      <c r="M6" s="91" t="n"/>
      <c r="N6" s="91" t="n"/>
      <c r="O6" s="110" t="n"/>
      <c r="P6" s="110" t="n"/>
    </row>
    <row r="7">
      <c r="A7" s="170" t="n"/>
      <c r="B7" s="179" t="n"/>
      <c r="C7" s="171" t="n"/>
      <c r="D7" s="170" t="n"/>
      <c r="E7" s="179" t="n"/>
      <c r="F7" s="171" t="n"/>
      <c r="G7" s="170" t="n"/>
      <c r="H7" s="179" t="n"/>
      <c r="I7" s="171" t="n"/>
      <c r="J7" s="170" t="n"/>
      <c r="K7" s="179" t="n"/>
      <c r="L7" s="171" t="n"/>
      <c r="M7" s="91" t="n"/>
      <c r="N7" s="91" t="n"/>
      <c r="O7" s="110" t="n"/>
      <c r="P7" s="110" t="n"/>
    </row>
    <row r="8">
      <c r="A8" s="91" t="n"/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110" t="n"/>
      <c r="P8" s="110" t="n"/>
    </row>
    <row r="9" ht="50" customHeight="1">
      <c r="A9" s="91" t="n"/>
      <c r="B9" s="117" t="n"/>
      <c r="C9" s="117" t="n"/>
      <c r="D9" s="117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110" t="n"/>
      <c r="P9" s="110" t="n"/>
    </row>
    <row r="10" ht="24" customHeight="1">
      <c r="A10" s="94" t="inlineStr">
        <is>
          <t>Lever</t>
        </is>
      </c>
      <c r="B10" s="152" t="inlineStr">
        <is>
          <t>Baseline</t>
        </is>
      </c>
      <c r="C10" s="152" t="inlineStr">
        <is>
          <t>Tactical Upside</t>
        </is>
      </c>
      <c r="D10" s="152" t="inlineStr">
        <is>
          <t>Aggressive Growth</t>
        </is>
      </c>
      <c r="E10" s="94" t="inlineStr">
        <is>
          <t>Strategic Operational Impact</t>
        </is>
      </c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110" t="n"/>
      <c r="P10" s="110" t="n"/>
    </row>
    <row r="11" ht="24" customHeight="1">
      <c r="A11" s="153" t="inlineStr">
        <is>
          <t>Attendance Uplift</t>
        </is>
      </c>
      <c r="B11" s="154" t="inlineStr">
        <is>
          <t>+3%</t>
        </is>
      </c>
      <c r="C11" s="155" t="inlineStr">
        <is>
          <t>+6%</t>
        </is>
      </c>
      <c r="D11" s="156" t="inlineStr">
        <is>
          <t>+9%</t>
        </is>
      </c>
      <c r="E11" s="157" t="inlineStr">
        <is>
          <t>Leverage San Diego’s veteran and active-duty population with military nights, referral loops, and community endurance-style activations to lift mid-week volume.</t>
        </is>
      </c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110" t="n"/>
      <c r="P11" s="110" t="n"/>
    </row>
    <row r="12" ht="24" customHeight="1">
      <c r="A12" s="153" t="inlineStr">
        <is>
          <t>Ticket Yield / WATP</t>
        </is>
      </c>
      <c r="B12" s="154" t="inlineStr">
        <is>
          <t>+3.2%</t>
        </is>
      </c>
      <c r="C12" s="155" t="inlineStr">
        <is>
          <t>+5.0%</t>
        </is>
      </c>
      <c r="D12" s="156" t="inlineStr">
        <is>
          <t>+7.5%</t>
        </is>
      </c>
      <c r="E12" s="157" t="inlineStr">
        <is>
          <t>Tighten dynamic pricing around Friday/Saturday demand, anniversary games, and premium seat clusters while keeping entry products accessible.</t>
        </is>
      </c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110" t="n"/>
      <c r="P12" s="110" t="n"/>
    </row>
    <row r="13" ht="50" customHeight="1">
      <c r="A13" s="153" t="inlineStr">
        <is>
          <t>Sponsorship Yield</t>
        </is>
      </c>
      <c r="B13" s="154" t="inlineStr">
        <is>
          <t>+9.3%</t>
        </is>
      </c>
      <c r="C13" s="155" t="inlineStr">
        <is>
          <t>+12.0%</t>
        </is>
      </c>
      <c r="D13" s="156" t="inlineStr">
        <is>
          <t>+16.0%</t>
        </is>
      </c>
      <c r="E13" s="157" t="inlineStr">
        <is>
          <t>Bundle digital, theme-night, signage, and hospitality inventory into fewer, higher-value packages with clearer audience data.</t>
        </is>
      </c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110" t="n"/>
      <c r="P13" s="110" t="n"/>
    </row>
    <row r="14" ht="24" customHeight="1">
      <c r="A14" s="153" t="inlineStr">
        <is>
          <t>F&amp;B Per-Cap</t>
        </is>
      </c>
      <c r="B14" s="158" t="inlineStr">
        <is>
          <t>+3.2%</t>
        </is>
      </c>
      <c r="C14" s="159" t="inlineStr">
        <is>
          <t>+5.0%</t>
        </is>
      </c>
      <c r="D14" s="160" t="inlineStr">
        <is>
          <t>+7.0%</t>
        </is>
      </c>
      <c r="E14" s="157" t="inlineStr">
        <is>
          <t>Use Stella Lounge, tailgate, and bundle mechanics to lift mix and spend instead of relying on raw attendance alone.</t>
        </is>
      </c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110" t="n"/>
      <c r="P14" s="110" t="n"/>
    </row>
    <row r="15" ht="24" customHeight="1">
      <c r="A15" s="153" t="inlineStr">
        <is>
          <t>Merch Conversion</t>
        </is>
      </c>
      <c r="B15" s="158" t="inlineStr">
        <is>
          <t>+4.4%</t>
        </is>
      </c>
      <c r="C15" s="159" t="inlineStr">
        <is>
          <t>+6.0%</t>
        </is>
      </c>
      <c r="D15" s="160" t="inlineStr">
        <is>
          <t>+8.0%</t>
        </is>
      </c>
      <c r="E15" s="157" t="inlineStr">
        <is>
          <t>Deploy event-night capsules, auctioned specialty product, and QR-based game-night offers to improve same-visit conversion.</t>
        </is>
      </c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110" t="n"/>
      <c r="P15" s="110" t="n"/>
    </row>
    <row r="16" ht="24" customHeight="1">
      <c r="A16" s="153" t="inlineStr">
        <is>
          <t>Digital Funnel</t>
        </is>
      </c>
      <c r="B16" s="158" t="inlineStr">
        <is>
          <t>+8.0% traffic</t>
        </is>
      </c>
      <c r="C16" s="159" t="inlineStr">
        <is>
          <t>+12.0% traffic</t>
        </is>
      </c>
      <c r="D16" s="160" t="inlineStr">
        <is>
          <t>+16.0% traffic</t>
        </is>
      </c>
      <c r="E16" s="157" t="inlineStr">
        <is>
          <t>Segment email/SMS, simplify mobile landing pages, and retarget first-time buyers into flex-plan, college, and group follow-up journeys.</t>
        </is>
      </c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110" t="n"/>
      <c r="P16" s="110" t="n"/>
    </row>
    <row r="17" ht="50" customHeight="1">
      <c r="A17" s="91" t="n"/>
      <c r="B17" s="97" t="n"/>
      <c r="C17" s="97" t="n"/>
      <c r="D17" s="97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110" t="n"/>
      <c r="P17" s="110" t="n"/>
    </row>
    <row r="18" ht="24" customHeight="1">
      <c r="A18" s="91" t="n"/>
      <c r="B18" s="161" t="n"/>
      <c r="C18" s="161" t="n"/>
      <c r="D18" s="16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110" t="n"/>
      <c r="P18" s="110" t="n"/>
    </row>
    <row r="19" ht="24" customHeight="1">
      <c r="A19" s="91" t="n"/>
      <c r="B19" s="161" t="n"/>
      <c r="C19" s="161" t="n"/>
      <c r="D19" s="16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110" t="n"/>
      <c r="P19" s="110" t="n"/>
    </row>
    <row r="20" ht="24" customHeight="1">
      <c r="A20" s="91" t="n"/>
      <c r="B20" s="101" t="n"/>
      <c r="C20" s="101" t="n"/>
      <c r="D20" s="101" t="n"/>
      <c r="E20" s="91" t="n"/>
      <c r="F20" s="91" t="n"/>
      <c r="G20" s="91" t="n"/>
      <c r="H20" s="94" t="inlineStr">
        <is>
          <t>Team</t>
        </is>
      </c>
      <c r="I20" s="94" t="inlineStr">
        <is>
          <t>2025-26 Attendance</t>
        </is>
      </c>
      <c r="J20" s="94" t="inlineStr">
        <is>
          <t>Ticket Entry Anchor</t>
        </is>
      </c>
      <c r="K20" s="94" t="inlineStr">
        <is>
          <t>Modeled WATP</t>
        </is>
      </c>
      <c r="L20" s="91" t="n"/>
      <c r="M20" s="91" t="n"/>
      <c r="N20" s="91" t="n"/>
      <c r="O20" s="110" t="n"/>
      <c r="P20" s="110" t="n"/>
    </row>
    <row r="21">
      <c r="A21" s="91" t="n"/>
      <c r="B21" s="101" t="n"/>
      <c r="C21" s="101" t="n"/>
      <c r="D21" s="101" t="n"/>
      <c r="E21" s="91" t="n"/>
      <c r="F21" s="91" t="n"/>
      <c r="G21" s="91" t="n"/>
      <c r="H21" s="153" t="inlineStr">
        <is>
          <t>San Diego Gulls</t>
        </is>
      </c>
      <c r="I21" s="162" t="n">
        <v>7403</v>
      </c>
      <c r="J21" s="162" t="inlineStr">
        <is>
          <t>$23 box office / $28.75 online</t>
        </is>
      </c>
      <c r="K21" s="163" t="n">
        <v>25.4</v>
      </c>
      <c r="L21" s="91" t="n"/>
      <c r="M21" s="91" t="n"/>
      <c r="N21" s="91" t="n"/>
      <c r="O21" s="110" t="n"/>
      <c r="P21" s="110" t="n"/>
    </row>
    <row r="22">
      <c r="A22" s="91" t="n"/>
      <c r="B22" s="101" t="n"/>
      <c r="C22" s="101" t="n"/>
      <c r="D22" s="101" t="n"/>
      <c r="E22" s="91" t="n"/>
      <c r="F22" s="91" t="n"/>
      <c r="G22" s="91" t="n"/>
      <c r="H22" s="153" t="inlineStr">
        <is>
          <t>Coachella Valley Firebirds</t>
        </is>
      </c>
      <c r="I22" s="162" t="n">
        <v>9805</v>
      </c>
      <c r="J22" s="162" t="inlineStr">
        <is>
          <t>Premium-heavy desert market / individual-game on-sale</t>
        </is>
      </c>
      <c r="K22" s="163" t="n">
        <v>29.5</v>
      </c>
      <c r="L22" s="91" t="n"/>
      <c r="M22" s="91" t="n"/>
      <c r="N22" s="91" t="n"/>
      <c r="O22" s="110" t="n"/>
      <c r="P22" s="110" t="n"/>
    </row>
    <row r="23">
      <c r="A23" s="91" t="n"/>
      <c r="B23" s="101" t="n"/>
      <c r="C23" s="101" t="n"/>
      <c r="D23" s="101" t="n"/>
      <c r="E23" s="91" t="n"/>
      <c r="F23" s="91" t="n"/>
      <c r="G23" s="91" t="n"/>
      <c r="H23" s="153" t="inlineStr">
        <is>
          <t>Henderson Silver Knights</t>
        </is>
      </c>
      <c r="I23" s="162" t="n">
        <v>4856</v>
      </c>
      <c r="J23" s="162" t="inlineStr">
        <is>
          <t>Value nights + group savings up to 40%</t>
        </is>
      </c>
      <c r="K23" s="163" t="n">
        <v>23</v>
      </c>
      <c r="L23" s="91" t="n"/>
      <c r="M23" s="91" t="n"/>
      <c r="N23" s="91" t="n"/>
      <c r="O23" s="110" t="n"/>
      <c r="P23" s="110" t="n"/>
    </row>
    <row r="24">
      <c r="A24" s="91" t="n"/>
      <c r="B24" s="101" t="n"/>
      <c r="C24" s="101" t="n"/>
      <c r="D24" s="10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110" t="n"/>
      <c r="P24" s="110" t="n"/>
    </row>
    <row r="25">
      <c r="A25" s="91" t="n"/>
      <c r="B25" s="101" t="n"/>
      <c r="C25" s="101" t="n"/>
      <c r="D25" s="101" t="n"/>
      <c r="E25" s="91" t="n"/>
      <c r="F25" s="91" t="n"/>
      <c r="G25" s="91" t="n"/>
      <c r="H25" s="164" t="inlineStr">
        <is>
          <t>Benchmark note: non-Gulls WATP values are directional estimates using public ticket products, market positioning, and attendance context—not disclosed team financials.</t>
        </is>
      </c>
      <c r="L25" s="91" t="n"/>
      <c r="M25" s="91" t="n"/>
      <c r="N25" s="91" t="n"/>
      <c r="O25" s="110" t="n"/>
      <c r="P25" s="110" t="n"/>
    </row>
    <row r="26">
      <c r="A26" s="91" t="n"/>
      <c r="B26" s="101" t="n"/>
      <c r="C26" s="101" t="n"/>
      <c r="D26" s="101" t="n"/>
      <c r="E26" s="91" t="n"/>
      <c r="F26" s="91" t="n"/>
      <c r="G26" s="91" t="n"/>
      <c r="L26" s="91" t="n"/>
      <c r="M26" s="91" t="n"/>
      <c r="N26" s="91" t="n"/>
      <c r="O26" s="110" t="n"/>
      <c r="P26" s="110" t="n"/>
    </row>
    <row r="27">
      <c r="A27" s="91" t="n"/>
      <c r="B27" s="101" t="n"/>
      <c r="C27" s="101" t="n"/>
      <c r="D27" s="101" t="n"/>
      <c r="E27" s="91" t="n"/>
      <c r="F27" s="91" t="n"/>
      <c r="G27" s="91" t="n"/>
      <c r="L27" s="91" t="n"/>
      <c r="M27" s="91" t="n"/>
      <c r="N27" s="91" t="n"/>
      <c r="O27" s="110" t="n"/>
      <c r="P27" s="110" t="n"/>
    </row>
    <row r="28">
      <c r="A28" s="91" t="n"/>
      <c r="B28" s="91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110" t="n"/>
      <c r="P28" s="110" t="n"/>
    </row>
    <row r="29">
      <c r="A29" s="91" t="n"/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110" t="n"/>
      <c r="P29" s="110" t="n"/>
    </row>
    <row r="30">
      <c r="A30" s="91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110" t="n"/>
      <c r="P30" s="110" t="n"/>
    </row>
    <row r="31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110" t="n"/>
      <c r="P31" s="110" t="n"/>
    </row>
    <row r="32">
      <c r="A32" s="91" t="n"/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110" t="n"/>
      <c r="P32" s="110" t="n"/>
    </row>
    <row r="33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110" t="n"/>
      <c r="P33" s="110" t="n"/>
    </row>
    <row r="34">
      <c r="A34" s="91" t="n"/>
      <c r="B34" s="91" t="n"/>
      <c r="C34" s="91" t="n"/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110" t="n"/>
      <c r="P34" s="110" t="n"/>
    </row>
    <row r="35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110" t="n"/>
      <c r="P35" s="110" t="n"/>
    </row>
    <row r="36">
      <c r="A36" s="91" t="n"/>
      <c r="B36" s="91" t="n"/>
      <c r="C36" s="91" t="n"/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110" t="n"/>
      <c r="P36" s="110" t="n"/>
    </row>
    <row r="37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110" t="n"/>
      <c r="P37" s="110" t="n"/>
    </row>
    <row r="38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110" t="n"/>
      <c r="P38" s="110" t="n"/>
    </row>
    <row r="39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110" t="n"/>
      <c r="P39" s="110" t="n"/>
    </row>
    <row r="40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110" t="n"/>
      <c r="P40" s="110" t="n"/>
    </row>
    <row r="41">
      <c r="A41" s="110" t="n"/>
      <c r="B41" s="110" t="n"/>
      <c r="C41" s="110" t="n"/>
      <c r="D41" s="110" t="n"/>
      <c r="E41" s="110" t="n"/>
      <c r="F41" s="110" t="n"/>
      <c r="G41" s="110" t="n"/>
      <c r="H41" s="110" t="n"/>
      <c r="I41" s="110" t="n"/>
      <c r="J41" s="110" t="n"/>
      <c r="K41" s="110" t="n"/>
      <c r="L41" s="110" t="n"/>
      <c r="M41" s="110" t="n"/>
      <c r="N41" s="110" t="n"/>
      <c r="O41" s="110" t="n"/>
      <c r="P41" s="110" t="n"/>
    </row>
    <row r="42">
      <c r="A42" s="110" t="n"/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0" t="n"/>
      <c r="N42" s="110" t="n"/>
      <c r="O42" s="110" t="n"/>
      <c r="P42" s="110" t="n"/>
    </row>
    <row r="43">
      <c r="A43" s="110" t="n"/>
      <c r="B43" s="110" t="n"/>
      <c r="C43" s="110" t="n"/>
      <c r="D43" s="110" t="n"/>
      <c r="E43" s="110" t="n"/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A44" s="110" t="n"/>
      <c r="B44" s="110" t="n"/>
      <c r="C44" s="110" t="n"/>
      <c r="D44" s="110" t="n"/>
      <c r="E44" s="110" t="n"/>
      <c r="F44" s="110" t="n"/>
      <c r="G44" s="110" t="n"/>
      <c r="H44" s="110" t="n"/>
      <c r="I44" s="110" t="n"/>
      <c r="J44" s="110" t="n"/>
      <c r="K44" s="110" t="n"/>
      <c r="L44" s="110" t="n"/>
      <c r="M44" s="110" t="n"/>
      <c r="N44" s="110" t="n"/>
      <c r="O44" s="110" t="n"/>
      <c r="P44" s="110" t="n"/>
    </row>
    <row r="45">
      <c r="A45" s="110" t="n"/>
      <c r="B45" s="110" t="n"/>
      <c r="C45" s="110" t="n"/>
      <c r="D45" s="110" t="n"/>
      <c r="E45" s="110" t="n"/>
      <c r="F45" s="110" t="n"/>
      <c r="G45" s="110" t="n"/>
      <c r="H45" s="110" t="n"/>
      <c r="I45" s="110" t="n"/>
      <c r="J45" s="110" t="n"/>
      <c r="K45" s="110" t="n"/>
      <c r="L45" s="110" t="n"/>
      <c r="M45" s="110" t="n"/>
      <c r="N45" s="110" t="n"/>
      <c r="O45" s="110" t="n"/>
      <c r="P45" s="110" t="n"/>
    </row>
    <row r="46">
      <c r="A46" s="110" t="n"/>
      <c r="B46" s="110" t="n"/>
      <c r="C46" s="110" t="n"/>
      <c r="D46" s="110" t="n"/>
      <c r="E46" s="110" t="n"/>
      <c r="F46" s="110" t="n"/>
      <c r="G46" s="110" t="n"/>
      <c r="H46" s="110" t="n"/>
      <c r="I46" s="110" t="n"/>
      <c r="J46" s="110" t="n"/>
      <c r="K46" s="110" t="n"/>
      <c r="L46" s="110" t="n"/>
      <c r="M46" s="110" t="n"/>
      <c r="N46" s="110" t="n"/>
      <c r="O46" s="110" t="n"/>
      <c r="P46" s="110" t="n"/>
    </row>
    <row r="47">
      <c r="A47" s="110" t="n"/>
      <c r="B47" s="110" t="n"/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L47" s="110" t="n"/>
      <c r="M47" s="110" t="n"/>
      <c r="N47" s="110" t="n"/>
      <c r="O47" s="110" t="n"/>
      <c r="P47" s="110" t="n"/>
    </row>
    <row r="48">
      <c r="A48" s="110" t="n"/>
      <c r="B48" s="110" t="n"/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110" t="n"/>
      <c r="N48" s="110" t="n"/>
      <c r="O48" s="110" t="n"/>
      <c r="P48" s="110" t="n"/>
    </row>
    <row r="49">
      <c r="A49" s="110" t="n"/>
      <c r="B49" s="110" t="n"/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110" t="n"/>
      <c r="N49" s="110" t="n"/>
      <c r="O49" s="110" t="n"/>
      <c r="P49" s="110" t="n"/>
    </row>
    <row r="50">
      <c r="A50" s="110" t="n"/>
      <c r="B50" s="110" t="n"/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110" t="n"/>
      <c r="N50" s="110" t="n"/>
      <c r="O50" s="110" t="n"/>
      <c r="P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0" t="n"/>
    </row>
    <row r="52">
      <c r="A52" s="110" t="n"/>
      <c r="B52" s="110" t="n"/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10" t="n"/>
      <c r="N52" s="110" t="n"/>
      <c r="O52" s="110" t="n"/>
      <c r="P52" s="110" t="n"/>
    </row>
    <row r="53">
      <c r="A53" s="110" t="n"/>
      <c r="B53" s="110" t="n"/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L53" s="110" t="n"/>
      <c r="M53" s="110" t="n"/>
      <c r="N53" s="110" t="n"/>
      <c r="O53" s="110" t="n"/>
      <c r="P53" s="110" t="n"/>
    </row>
    <row r="54">
      <c r="A54" s="110" t="n"/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M54" s="110" t="n"/>
      <c r="N54" s="110" t="n"/>
      <c r="O54" s="110" t="n"/>
      <c r="P54" s="110" t="n"/>
    </row>
    <row r="55">
      <c r="A55" s="110" t="n"/>
      <c r="B55" s="110" t="n"/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  <c r="M55" s="110" t="n"/>
      <c r="N55" s="110" t="n"/>
      <c r="O55" s="110" t="n"/>
      <c r="P55" s="110" t="n"/>
    </row>
    <row r="56">
      <c r="A56" s="110" t="n"/>
      <c r="B56" s="110" t="n"/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</row>
    <row r="57">
      <c r="A57" s="110" t="n"/>
      <c r="B57" s="110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</row>
    <row r="58">
      <c r="A58" s="110" t="n"/>
      <c r="B58" s="110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10" t="n"/>
      <c r="N58" s="110" t="n"/>
      <c r="O58" s="110" t="n"/>
      <c r="P58" s="110" t="n"/>
    </row>
    <row r="59">
      <c r="A59" s="110" t="n"/>
      <c r="B59" s="110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94"/>
  <mergeCells count="11">
    <mergeCell ref="A2:N2"/>
    <mergeCell ref="J4:L7"/>
    <mergeCell ref="H25:K27"/>
    <mergeCell ref="A4:C7"/>
    <mergeCell ref="A3:C3"/>
    <mergeCell ref="G3:I3"/>
    <mergeCell ref="D3:F3"/>
    <mergeCell ref="D4:F7"/>
    <mergeCell ref="G4:I7"/>
    <mergeCell ref="J3:L3"/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4" customWidth="1" min="10" max="10"/>
    <col width="16" customWidth="1" min="11" max="11"/>
  </cols>
  <sheetData>
    <row r="1">
      <c r="A1" s="50" t="inlineStr">
        <is>
          <t>Metric</t>
        </is>
      </c>
      <c r="B1" s="50" t="inlineStr">
        <is>
          <t>Category</t>
        </is>
      </c>
      <c r="C1" s="50" t="inlineStr">
        <is>
          <t>2021-22</t>
        </is>
      </c>
      <c r="D1" s="50" t="inlineStr">
        <is>
          <t>2022-23</t>
        </is>
      </c>
      <c r="E1" s="50" t="inlineStr">
        <is>
          <t>2023-24</t>
        </is>
      </c>
      <c r="F1" s="50" t="inlineStr">
        <is>
          <t>2024-25</t>
        </is>
      </c>
      <c r="G1" s="50" t="inlineStr">
        <is>
          <t>2025-26</t>
        </is>
      </c>
      <c r="H1" s="50" t="inlineStr">
        <is>
          <t>2026-27</t>
        </is>
      </c>
      <c r="I1" s="50" t="inlineStr">
        <is>
          <t>Unit</t>
        </is>
      </c>
      <c r="J1" s="50" t="inlineStr">
        <is>
          <t>Source / Method</t>
        </is>
      </c>
      <c r="K1" s="50" t="inlineStr">
        <is>
          <t>Status</t>
        </is>
      </c>
    </row>
    <row r="2">
      <c r="A2" s="51" t="inlineStr">
        <is>
          <t>2026-27 attendance growth assumption</t>
        </is>
      </c>
      <c r="B2" s="51" t="inlineStr">
        <is>
          <t>CONTROL</t>
        </is>
      </c>
      <c r="C2" s="63" t="n"/>
      <c r="D2" s="63" t="n"/>
      <c r="E2" s="63" t="n"/>
      <c r="F2" s="63" t="n"/>
      <c r="G2" s="63" t="n"/>
      <c r="H2" s="86" t="n">
        <v>0.03</v>
      </c>
      <c r="I2" s="51" t="inlineStr">
        <is>
          <t>pct</t>
        </is>
      </c>
      <c r="J2" s="51" t="inlineStr">
        <is>
          <t>Model control</t>
        </is>
      </c>
      <c r="K2" s="51" t="inlineStr">
        <is>
          <t>Control</t>
        </is>
      </c>
    </row>
    <row r="3">
      <c r="A3" s="51" t="inlineStr">
        <is>
          <t>2026-27 WATP growth assumption</t>
        </is>
      </c>
      <c r="B3" s="51" t="inlineStr">
        <is>
          <t>CONTROL</t>
        </is>
      </c>
      <c r="C3" s="63" t="n"/>
      <c r="D3" s="63" t="n"/>
      <c r="E3" s="63" t="n"/>
      <c r="F3" s="63" t="n"/>
      <c r="G3" s="63" t="n"/>
      <c r="H3" s="86" t="n">
        <v>0.032</v>
      </c>
      <c r="I3" s="51" t="inlineStr">
        <is>
          <t>pct</t>
        </is>
      </c>
      <c r="J3" s="51" t="inlineStr">
        <is>
          <t>Model control</t>
        </is>
      </c>
      <c r="K3" s="51" t="inlineStr">
        <is>
          <t>Control</t>
        </is>
      </c>
    </row>
    <row r="4">
      <c r="A4" s="51" t="inlineStr">
        <is>
          <t>2026-27 sponsorship growth assumption</t>
        </is>
      </c>
      <c r="B4" s="51" t="inlineStr">
        <is>
          <t>CONTROL</t>
        </is>
      </c>
      <c r="C4" s="63" t="n"/>
      <c r="D4" s="63" t="n"/>
      <c r="E4" s="63" t="n"/>
      <c r="F4" s="63" t="n"/>
      <c r="G4" s="63" t="n"/>
      <c r="H4" s="86" t="n">
        <v>0.093</v>
      </c>
      <c r="I4" s="51" t="inlineStr">
        <is>
          <t>pct</t>
        </is>
      </c>
      <c r="J4" s="51" t="inlineStr">
        <is>
          <t>Model control</t>
        </is>
      </c>
      <c r="K4" s="51" t="inlineStr">
        <is>
          <t>Control</t>
        </is>
      </c>
    </row>
    <row r="5">
      <c r="A5" s="51" t="inlineStr">
        <is>
          <t>2026-27 per-cap F&amp;B growth assumption</t>
        </is>
      </c>
      <c r="B5" s="51" t="inlineStr">
        <is>
          <t>CONTROL</t>
        </is>
      </c>
      <c r="C5" s="63" t="n"/>
      <c r="D5" s="63" t="n"/>
      <c r="E5" s="63" t="n"/>
      <c r="F5" s="63" t="n"/>
      <c r="G5" s="63" t="n"/>
      <c r="H5" s="86" t="n">
        <v>0.032</v>
      </c>
      <c r="I5" s="51" t="inlineStr">
        <is>
          <t>pct</t>
        </is>
      </c>
      <c r="J5" s="51" t="inlineStr">
        <is>
          <t>Model control</t>
        </is>
      </c>
      <c r="K5" s="51" t="inlineStr">
        <is>
          <t>Control</t>
        </is>
      </c>
    </row>
    <row r="6">
      <c r="A6" s="51" t="inlineStr">
        <is>
          <t>2026-27 merch per-cap growth assumption</t>
        </is>
      </c>
      <c r="B6" s="51" t="inlineStr">
        <is>
          <t>CONTROL</t>
        </is>
      </c>
      <c r="C6" s="63" t="n"/>
      <c r="D6" s="63" t="n"/>
      <c r="E6" s="63" t="n"/>
      <c r="F6" s="63" t="n"/>
      <c r="G6" s="63" t="n"/>
      <c r="H6" s="86" t="n">
        <v>0.044</v>
      </c>
      <c r="I6" s="51" t="inlineStr">
        <is>
          <t>pct</t>
        </is>
      </c>
      <c r="J6" s="51" t="inlineStr">
        <is>
          <t>Model control</t>
        </is>
      </c>
      <c r="K6" s="51" t="inlineStr">
        <is>
          <t>Control</t>
        </is>
      </c>
    </row>
    <row r="7">
      <c r="A7" s="51" t="inlineStr">
        <is>
          <t>2026-27 STM price growth assumption</t>
        </is>
      </c>
      <c r="B7" s="51" t="inlineStr">
        <is>
          <t>CONTROL</t>
        </is>
      </c>
      <c r="C7" s="63" t="n"/>
      <c r="D7" s="63" t="n"/>
      <c r="E7" s="63" t="n"/>
      <c r="F7" s="63" t="n"/>
      <c r="G7" s="63" t="n"/>
      <c r="H7" s="86" t="n">
        <v>0.03</v>
      </c>
      <c r="I7" s="51" t="inlineStr">
        <is>
          <t>pct</t>
        </is>
      </c>
      <c r="J7" s="51" t="inlineStr">
        <is>
          <t>Model control</t>
        </is>
      </c>
      <c r="K7" s="51" t="inlineStr">
        <is>
          <t>Control</t>
        </is>
      </c>
    </row>
    <row r="8">
      <c r="A8" s="51" t="inlineStr">
        <is>
          <t>2026-27 single-game price growth assumption</t>
        </is>
      </c>
      <c r="B8" s="51" t="inlineStr">
        <is>
          <t>CONTROL</t>
        </is>
      </c>
      <c r="C8" s="63" t="n"/>
      <c r="D8" s="63" t="n"/>
      <c r="E8" s="63" t="n"/>
      <c r="F8" s="63" t="n"/>
      <c r="G8" s="63" t="n"/>
      <c r="H8" s="86" t="n">
        <v>0.043</v>
      </c>
      <c r="I8" s="51" t="inlineStr">
        <is>
          <t>pct</t>
        </is>
      </c>
      <c r="J8" s="51" t="inlineStr">
        <is>
          <t>Model control</t>
        </is>
      </c>
      <c r="K8" s="51" t="inlineStr">
        <is>
          <t>Control</t>
        </is>
      </c>
    </row>
    <row r="9">
      <c r="A9" s="51" t="inlineStr">
        <is>
          <t>2026-27 website traffic growth assumption</t>
        </is>
      </c>
      <c r="B9" s="51" t="inlineStr">
        <is>
          <t>CONTROL</t>
        </is>
      </c>
      <c r="C9" s="63" t="n"/>
      <c r="D9" s="63" t="n"/>
      <c r="E9" s="63" t="n"/>
      <c r="F9" s="63" t="n"/>
      <c r="G9" s="63" t="n"/>
      <c r="H9" s="86" t="n">
        <v>0.08</v>
      </c>
      <c r="I9" s="51" t="inlineStr">
        <is>
          <t>pct</t>
        </is>
      </c>
      <c r="J9" s="51" t="inlineStr">
        <is>
          <t>Model control</t>
        </is>
      </c>
      <c r="K9" s="51" t="inlineStr">
        <is>
          <t>Control</t>
        </is>
      </c>
    </row>
    <row r="10">
      <c r="A10" s="51" t="inlineStr">
        <is>
          <t>Average attendance</t>
        </is>
      </c>
      <c r="B10" s="51" t="inlineStr">
        <is>
          <t>ATTENDANCE</t>
        </is>
      </c>
      <c r="C10" s="87" t="n">
        <v>6992</v>
      </c>
      <c r="D10" s="87" t="n">
        <v>6953</v>
      </c>
      <c r="E10" s="87" t="n">
        <v>7249</v>
      </c>
      <c r="F10" s="87" t="n">
        <v>7262</v>
      </c>
      <c r="G10" s="87" t="n">
        <v>7403</v>
      </c>
      <c r="H10" s="77" t="n"/>
      <c r="I10" s="51" t="inlineStr">
        <is>
          <t>fans/game</t>
        </is>
      </c>
      <c r="J10" s="51" t="inlineStr">
        <is>
          <t>https://www.hockeydb.com/stte/san-diego-gulls-11619.html</t>
        </is>
      </c>
      <c r="K10" s="51" t="inlineStr">
        <is>
          <t>Public/Projection</t>
        </is>
      </c>
    </row>
    <row r="11">
      <c r="A11" s="51" t="inlineStr">
        <is>
          <t>Home games</t>
        </is>
      </c>
      <c r="B11" s="51" t="inlineStr">
        <is>
          <t>ATTENDANCE</t>
        </is>
      </c>
      <c r="C11" s="87" t="n">
        <v>34</v>
      </c>
      <c r="D11" s="87" t="n">
        <v>36</v>
      </c>
      <c r="E11" s="87" t="n">
        <v>36</v>
      </c>
      <c r="F11" s="87" t="n">
        <v>36</v>
      </c>
      <c r="G11" s="87" t="n">
        <v>36</v>
      </c>
      <c r="H11" s="87" t="n">
        <v>36</v>
      </c>
      <c r="I11" s="51" t="inlineStr">
        <is>
          <t>games</t>
        </is>
      </c>
      <c r="J11" s="51" t="inlineStr">
        <is>
          <t>https://www.sandiegogulls.com/news/detail/san-diego-gulls-2021-22-schedule-announced</t>
        </is>
      </c>
      <c r="K11" s="51" t="inlineStr">
        <is>
          <t>Public</t>
        </is>
      </c>
    </row>
    <row r="12">
      <c r="A12" s="51" t="inlineStr">
        <is>
          <t>Hockey seating capacity</t>
        </is>
      </c>
      <c r="B12" s="51" t="inlineStr">
        <is>
          <t>VENUE</t>
        </is>
      </c>
      <c r="C12" s="87" t="n">
        <v>12920</v>
      </c>
      <c r="D12" s="87" t="n">
        <v>12920</v>
      </c>
      <c r="E12" s="87" t="n">
        <v>12920</v>
      </c>
      <c r="F12" s="87" t="n">
        <v>12920</v>
      </c>
      <c r="G12" s="87" t="n">
        <v>12920</v>
      </c>
      <c r="H12" s="87" t="n">
        <v>12920</v>
      </c>
      <c r="I12" s="51" t="inlineStr">
        <is>
          <t>seats</t>
        </is>
      </c>
      <c r="J12" s="51" t="inlineStr">
        <is>
          <t>https://www.sandiegogulls.com/assets/doc/2021-22-San-Diego-Gulls-Media-Guide-compressed-92470e4558.pdf</t>
        </is>
      </c>
      <c r="K12" s="51" t="inlineStr">
        <is>
          <t>Context</t>
        </is>
      </c>
    </row>
    <row r="13">
      <c r="A13" s="51" t="inlineStr">
        <is>
          <t>General venue capacity</t>
        </is>
      </c>
      <c r="B13" s="51" t="inlineStr">
        <is>
          <t>VENUE</t>
        </is>
      </c>
      <c r="C13" s="87" t="n">
        <v>14000</v>
      </c>
      <c r="D13" s="87" t="n">
        <v>14000</v>
      </c>
      <c r="E13" s="87" t="n">
        <v>14000</v>
      </c>
      <c r="F13" s="87" t="n">
        <v>14000</v>
      </c>
      <c r="G13" s="87" t="n">
        <v>14000</v>
      </c>
      <c r="H13" s="87" t="n">
        <v>14000</v>
      </c>
      <c r="I13" s="51" t="inlineStr">
        <is>
          <t>seats</t>
        </is>
      </c>
      <c r="J13" s="51" t="inlineStr">
        <is>
          <t>https://pechangaarenasd.com/about/</t>
        </is>
      </c>
      <c r="K13" s="51" t="inlineStr">
        <is>
          <t>Public</t>
        </is>
      </c>
    </row>
    <row r="14">
      <c r="A14" s="51" t="inlineStr">
        <is>
          <t>Home weekend dates</t>
        </is>
      </c>
      <c r="B14" s="51" t="inlineStr">
        <is>
          <t>SCHEDULE</t>
        </is>
      </c>
      <c r="C14" s="87" t="n">
        <v>23</v>
      </c>
      <c r="D14" s="87" t="n">
        <v>23</v>
      </c>
      <c r="E14" s="87" t="n">
        <v>26</v>
      </c>
      <c r="F14" s="87" t="n">
        <v>25</v>
      </c>
      <c r="G14" s="87" t="n">
        <v>25</v>
      </c>
      <c r="H14" s="87" t="n">
        <v>25</v>
      </c>
      <c r="I14" s="51" t="inlineStr">
        <is>
          <t>dates</t>
        </is>
      </c>
      <c r="J14" s="51" t="inlineStr">
        <is>
          <t>Multiple official schedule releases on sandiegogulls.com</t>
        </is>
      </c>
      <c r="K14" s="51" t="inlineStr">
        <is>
          <t>Public</t>
        </is>
      </c>
    </row>
    <row r="15">
      <c r="A15" s="51" t="inlineStr">
        <is>
          <t>Friday home games</t>
        </is>
      </c>
      <c r="B15" s="51" t="inlineStr">
        <is>
          <t>SCHEDULE</t>
        </is>
      </c>
      <c r="C15" s="87" t="n">
        <v>11</v>
      </c>
      <c r="D15" s="87" t="n">
        <v>12</v>
      </c>
      <c r="E15" s="87" t="n">
        <v>12</v>
      </c>
      <c r="F15" s="87" t="n">
        <v>9</v>
      </c>
      <c r="G15" s="87" t="n">
        <v>10</v>
      </c>
      <c r="H15" s="87" t="n">
        <v>10</v>
      </c>
      <c r="I15" s="51" t="inlineStr">
        <is>
          <t>games</t>
        </is>
      </c>
      <c r="J15" s="51" t="inlineStr">
        <is>
          <t>Multiple official schedule releases on sandiegogulls.com</t>
        </is>
      </c>
      <c r="K15" s="51" t="inlineStr">
        <is>
          <t>Public</t>
        </is>
      </c>
    </row>
    <row r="16">
      <c r="A16" s="51" t="inlineStr">
        <is>
          <t>Saturday home games</t>
        </is>
      </c>
      <c r="B16" s="51" t="inlineStr">
        <is>
          <t>SCHEDULE</t>
        </is>
      </c>
      <c r="C16" s="87" t="n">
        <v>11</v>
      </c>
      <c r="D16" s="87" t="n">
        <v>11</v>
      </c>
      <c r="E16" s="87" t="n">
        <v>12</v>
      </c>
      <c r="F16" s="87" t="n">
        <v>14</v>
      </c>
      <c r="G16" s="87" t="n">
        <v>10</v>
      </c>
      <c r="H16" s="87" t="n">
        <v>11</v>
      </c>
      <c r="I16" s="51" t="inlineStr">
        <is>
          <t>games</t>
        </is>
      </c>
      <c r="J16" s="51" t="inlineStr">
        <is>
          <t>Multiple official schedule releases on sandiegogulls.com</t>
        </is>
      </c>
      <c r="K16" s="51" t="inlineStr">
        <is>
          <t>Public/Projection</t>
        </is>
      </c>
    </row>
    <row r="17">
      <c r="A17" s="51" t="inlineStr">
        <is>
          <t>Sunday home games</t>
        </is>
      </c>
      <c r="B17" s="51" t="inlineStr">
        <is>
          <t>SCHEDULE</t>
        </is>
      </c>
      <c r="C17" s="87" t="n">
        <v>1</v>
      </c>
      <c r="D17" s="87" t="n">
        <v>1</v>
      </c>
      <c r="E17" s="87" t="n">
        <v>2</v>
      </c>
      <c r="F17" s="87" t="n">
        <v>2</v>
      </c>
      <c r="G17" s="87" t="n">
        <v>5</v>
      </c>
      <c r="H17" s="87" t="n">
        <v>4</v>
      </c>
      <c r="I17" s="51" t="inlineStr">
        <is>
          <t>games</t>
        </is>
      </c>
      <c r="J17" s="51" t="inlineStr">
        <is>
          <t>Multiple official schedule releases on sandiegogulls.com</t>
        </is>
      </c>
      <c r="K17" s="51" t="inlineStr">
        <is>
          <t>Public/Projection</t>
        </is>
      </c>
    </row>
    <row r="18">
      <c r="A18" s="51" t="inlineStr">
        <is>
          <t>Back-to-back sets</t>
        </is>
      </c>
      <c r="B18" s="51" t="inlineStr">
        <is>
          <t>SCHEDULE</t>
        </is>
      </c>
      <c r="C18" s="87" t="n">
        <v>24</v>
      </c>
      <c r="D18" s="87" t="n">
        <v>21</v>
      </c>
      <c r="E18" s="87" t="n">
        <v>18</v>
      </c>
      <c r="F18" s="87" t="n">
        <v>20</v>
      </c>
      <c r="G18" s="87" t="n">
        <v>22</v>
      </c>
      <c r="H18" s="87" t="n">
        <v>22</v>
      </c>
      <c r="I18" s="51" t="inlineStr">
        <is>
          <t>sets</t>
        </is>
      </c>
      <c r="J18" s="51" t="inlineStr">
        <is>
          <t>Multiple official schedule releases on sandiegogulls.com</t>
        </is>
      </c>
      <c r="K18" s="51" t="inlineStr">
        <is>
          <t>Public</t>
        </is>
      </c>
    </row>
    <row r="19">
      <c r="A19" s="51" t="inlineStr">
        <is>
          <t>Promotional/theme nights announced</t>
        </is>
      </c>
      <c r="B19" s="51" t="inlineStr">
        <is>
          <t>MARKETING</t>
        </is>
      </c>
      <c r="C19" s="87" t="n">
        <v>13</v>
      </c>
      <c r="D19" s="87" t="n">
        <v>15</v>
      </c>
      <c r="E19" s="87" t="n">
        <v>16</v>
      </c>
      <c r="F19" s="87" t="n">
        <v>23</v>
      </c>
      <c r="G19" s="87" t="n">
        <v>28</v>
      </c>
      <c r="H19" s="87" t="n">
        <v>30</v>
      </c>
      <c r="I19" s="51" t="inlineStr">
        <is>
          <t>nights</t>
        </is>
      </c>
      <c r="J19" s="51" t="inlineStr">
        <is>
          <t>Multiple official promo releases on sandiegogulls.com</t>
        </is>
      </c>
      <c r="K19" s="51" t="inlineStr">
        <is>
          <t>Public/Projection</t>
        </is>
      </c>
    </row>
    <row r="20">
      <c r="A20" s="51" t="inlineStr">
        <is>
          <t>Giveaway items announced</t>
        </is>
      </c>
      <c r="B20" s="51" t="inlineStr">
        <is>
          <t>MARKETING</t>
        </is>
      </c>
      <c r="C20" s="87" t="n">
        <v>7</v>
      </c>
      <c r="D20" s="87" t="n">
        <v>6</v>
      </c>
      <c r="E20" s="87" t="n">
        <v>10</v>
      </c>
      <c r="F20" s="87" t="n">
        <v>11</v>
      </c>
      <c r="G20" s="87" t="n">
        <v>5</v>
      </c>
      <c r="H20" s="87" t="n">
        <v>6</v>
      </c>
      <c r="I20" s="51" t="inlineStr">
        <is>
          <t>items</t>
        </is>
      </c>
      <c r="J20" s="51" t="inlineStr">
        <is>
          <t>Multiple official promo releases on sandiegogulls.com</t>
        </is>
      </c>
      <c r="K20" s="51" t="inlineStr">
        <is>
          <t>Public/Projection</t>
        </is>
      </c>
    </row>
    <row r="21">
      <c r="A21" s="51" t="inlineStr">
        <is>
          <t>Pregame tailgates</t>
        </is>
      </c>
      <c r="B21" s="51" t="inlineStr">
        <is>
          <t>MARKETING</t>
        </is>
      </c>
      <c r="C21" s="87" t="n">
        <v>6</v>
      </c>
      <c r="D21" s="87" t="n">
        <v>6</v>
      </c>
      <c r="E21" s="87" t="n">
        <v>7</v>
      </c>
      <c r="F21" s="87" t="n">
        <v>7</v>
      </c>
      <c r="G21" s="87" t="n">
        <v>7</v>
      </c>
      <c r="H21" s="87" t="n">
        <v>8</v>
      </c>
      <c r="I21" s="51" t="inlineStr">
        <is>
          <t>events</t>
        </is>
      </c>
      <c r="J21" s="51" t="inlineStr">
        <is>
          <t>Multiple official promo releases on sandiegogulls.com</t>
        </is>
      </c>
      <c r="K21" s="51" t="inlineStr">
        <is>
          <t>Public/Projection</t>
        </is>
      </c>
    </row>
    <row r="22">
      <c r="A22" s="51" t="inlineStr">
        <is>
          <t>STM entry price</t>
        </is>
      </c>
      <c r="B22" s="51" t="inlineStr">
        <is>
          <t>TICKETING</t>
        </is>
      </c>
      <c r="C22" s="88" t="n">
        <v>476</v>
      </c>
      <c r="D22" s="88" t="n">
        <v>540</v>
      </c>
      <c r="E22" s="88" t="n">
        <v>540</v>
      </c>
      <c r="F22" s="88" t="n">
        <v>560</v>
      </c>
      <c r="G22" s="88" t="n">
        <v>614</v>
      </c>
      <c r="H22" s="89" t="n"/>
      <c r="I22" s="51" t="inlineStr">
        <is>
          <t>$/seat</t>
        </is>
      </c>
      <c r="J22" s="51" t="inlineStr">
        <is>
          <t>Multiple official ticketing releases on sandiegogulls.com</t>
        </is>
      </c>
      <c r="K22" s="51" t="inlineStr">
        <is>
          <t>Public/Projection</t>
        </is>
      </c>
    </row>
    <row r="23">
      <c r="A23" s="51" t="inlineStr">
        <is>
          <t>Single-game floor (box office / public)</t>
        </is>
      </c>
      <c r="B23" s="51" t="inlineStr">
        <is>
          <t>TICKETING</t>
        </is>
      </c>
      <c r="C23" s="88" t="n">
        <v>19</v>
      </c>
      <c r="D23" s="88" t="n">
        <v>21</v>
      </c>
      <c r="E23" s="88" t="n">
        <v>20</v>
      </c>
      <c r="F23" s="88" t="n">
        <v>22</v>
      </c>
      <c r="G23" s="88" t="n">
        <v>23</v>
      </c>
      <c r="H23" s="89" t="n"/>
      <c r="I23" s="51" t="inlineStr">
        <is>
          <t>$/ticket</t>
        </is>
      </c>
      <c r="J23" s="51" t="inlineStr">
        <is>
          <t>Multiple official ticketing releases on sandiegogulls.com</t>
        </is>
      </c>
      <c r="K23" s="51" t="inlineStr">
        <is>
          <t>Public/Estimate/Projection</t>
        </is>
      </c>
    </row>
    <row r="24">
      <c r="A24" s="51" t="inlineStr">
        <is>
          <t>Single-game floor (online incl. fees)</t>
        </is>
      </c>
      <c r="B24" s="51" t="inlineStr">
        <is>
          <t>TICKETING</t>
        </is>
      </c>
      <c r="C24" s="89" t="n"/>
      <c r="D24" s="89" t="n"/>
      <c r="E24" s="89" t="n"/>
      <c r="F24" s="88" t="n">
        <v>27.5</v>
      </c>
      <c r="G24" s="88" t="n">
        <v>28.75</v>
      </c>
      <c r="H24" s="88" t="n">
        <v>29.75</v>
      </c>
      <c r="I24" s="51" t="inlineStr">
        <is>
          <t>$/ticket</t>
        </is>
      </c>
      <c r="J24" s="51" t="inlineStr">
        <is>
          <t>https://www.sandiegogulls.com/news/detail/single-game-tickets-available-now</t>
        </is>
      </c>
      <c r="K24" s="51" t="inlineStr">
        <is>
          <t>Estimate/Projection</t>
        </is>
      </c>
    </row>
    <row r="25">
      <c r="A25" s="51" t="inlineStr">
        <is>
          <t>College ticket price</t>
        </is>
      </c>
      <c r="B25" s="51" t="inlineStr">
        <is>
          <t>TICKETING</t>
        </is>
      </c>
      <c r="C25" s="89" t="n"/>
      <c r="D25" s="89" t="n"/>
      <c r="E25" s="89" t="n"/>
      <c r="F25" s="89" t="n"/>
      <c r="G25" s="88" t="n">
        <v>17</v>
      </c>
      <c r="H25" s="88" t="n">
        <v>17.5</v>
      </c>
      <c r="I25" s="51" t="inlineStr">
        <is>
          <t>$/ticket</t>
        </is>
      </c>
      <c r="J25" s="51" t="inlineStr">
        <is>
          <t>https://www.sandiegogulls.com/tickets/college</t>
        </is>
      </c>
      <c r="K25" s="51" t="inlineStr">
        <is>
          <t>Public/Projection</t>
        </is>
      </c>
    </row>
    <row r="26">
      <c r="A26" s="51" t="inlineStr">
        <is>
          <t>Family pack price floor</t>
        </is>
      </c>
      <c r="B26" s="51" t="inlineStr">
        <is>
          <t>TICKETING</t>
        </is>
      </c>
      <c r="C26" s="89" t="n"/>
      <c r="D26" s="89" t="n"/>
      <c r="E26" s="89" t="n"/>
      <c r="F26" s="89" t="n"/>
      <c r="G26" s="88" t="n">
        <v>130</v>
      </c>
      <c r="H26" s="88" t="n">
        <v>135</v>
      </c>
      <c r="I26" s="51" t="inlineStr">
        <is>
          <t>$/pack</t>
        </is>
      </c>
      <c r="J26" s="51" t="inlineStr">
        <is>
          <t>https://www.sandiegogulls.com/tickets/4-packs</t>
        </is>
      </c>
      <c r="K26" s="51" t="inlineStr">
        <is>
          <t>Public/Projection</t>
        </is>
      </c>
    </row>
    <row r="27">
      <c r="A27" s="51" t="inlineStr">
        <is>
          <t>Group minimum size</t>
        </is>
      </c>
      <c r="B27" s="51" t="inlineStr">
        <is>
          <t>TICKETING</t>
        </is>
      </c>
      <c r="C27" s="87" t="n">
        <v>10</v>
      </c>
      <c r="D27" s="87" t="n">
        <v>10</v>
      </c>
      <c r="E27" s="87" t="n">
        <v>10</v>
      </c>
      <c r="F27" s="87" t="n">
        <v>10</v>
      </c>
      <c r="G27" s="87" t="n">
        <v>10</v>
      </c>
      <c r="H27" s="87" t="n">
        <v>10</v>
      </c>
      <c r="I27" s="51" t="inlineStr">
        <is>
          <t>tickets</t>
        </is>
      </c>
      <c r="J27" s="51" t="inlineStr">
        <is>
          <t>https://www.sandiegogulls.com/tickets/group-tickets</t>
        </is>
      </c>
      <c r="K27" s="51" t="inlineStr">
        <is>
          <t>Public/Context</t>
        </is>
      </c>
    </row>
    <row r="28">
      <c r="A28" s="51" t="inlineStr">
        <is>
          <t>Max mini-plan discount</t>
        </is>
      </c>
      <c r="B28" s="51" t="inlineStr">
        <is>
          <t>TICKETING</t>
        </is>
      </c>
      <c r="C28" s="86" t="n">
        <v>0.15</v>
      </c>
      <c r="D28" s="86" t="n">
        <v>0.15</v>
      </c>
      <c r="E28" s="86" t="n">
        <v>0.2</v>
      </c>
      <c r="F28" s="86" t="n">
        <v>0.3</v>
      </c>
      <c r="G28" s="86" t="n">
        <v>0.3</v>
      </c>
      <c r="H28" s="86" t="n">
        <v>0.3</v>
      </c>
      <c r="I28" s="51" t="inlineStr">
        <is>
          <t>pct</t>
        </is>
      </c>
      <c r="J28" s="51" t="inlineStr">
        <is>
          <t>https://www.sandiegogulls.com/tickets/gulls-mini-plans</t>
        </is>
      </c>
      <c r="K28" s="51" t="inlineStr">
        <is>
          <t>Estimate/Projection</t>
        </is>
      </c>
    </row>
    <row r="29">
      <c r="A29" s="51" t="inlineStr">
        <is>
          <t>Weighted average ticket price (modeled)</t>
        </is>
      </c>
      <c r="B29" s="51" t="inlineStr">
        <is>
          <t>TICKETING</t>
        </is>
      </c>
      <c r="C29" s="88" t="n">
        <v>22</v>
      </c>
      <c r="D29" s="88" t="n">
        <v>22.4</v>
      </c>
      <c r="E29" s="88" t="n">
        <v>23.4</v>
      </c>
      <c r="F29" s="88" t="n">
        <v>24.4</v>
      </c>
      <c r="G29" s="88" t="n">
        <v>25.4</v>
      </c>
      <c r="H29" s="89" t="n"/>
      <c r="I29" s="51" t="inlineStr">
        <is>
          <t>$/ticket</t>
        </is>
      </c>
      <c r="J29" s="51" t="inlineStr">
        <is>
          <t>Model methodology</t>
        </is>
      </c>
      <c r="K29" s="51" t="inlineStr">
        <is>
          <t>Estimate/Projection</t>
        </is>
      </c>
    </row>
    <row r="30">
      <c r="A30" s="51" t="inlineStr">
        <is>
          <t>Group sales share of gate</t>
        </is>
      </c>
      <c r="B30" s="51" t="inlineStr">
        <is>
          <t>TICKETING</t>
        </is>
      </c>
      <c r="C30" s="86" t="n">
        <v>0.16</v>
      </c>
      <c r="D30" s="86" t="n">
        <v>0.17</v>
      </c>
      <c r="E30" s="86" t="n">
        <v>0.18</v>
      </c>
      <c r="F30" s="86" t="n">
        <v>0.19</v>
      </c>
      <c r="G30" s="86" t="n">
        <v>0.2</v>
      </c>
      <c r="H30" s="86" t="n">
        <v>0.21</v>
      </c>
      <c r="I30" s="51" t="inlineStr">
        <is>
          <t>pct</t>
        </is>
      </c>
      <c r="J30" s="51" t="inlineStr">
        <is>
          <t>Model methodology</t>
        </is>
      </c>
      <c r="K30" s="51" t="inlineStr">
        <is>
          <t>Estimate/Projection</t>
        </is>
      </c>
    </row>
    <row r="31">
      <c r="A31" s="51" t="inlineStr">
        <is>
          <t>Premium seating yield (included in gate)</t>
        </is>
      </c>
      <c r="B31" s="51" t="inlineStr">
        <is>
          <t>TICKETING</t>
        </is>
      </c>
      <c r="C31" s="90" t="n">
        <v>380000</v>
      </c>
      <c r="D31" s="90" t="n">
        <v>400000</v>
      </c>
      <c r="E31" s="90" t="n">
        <v>460000</v>
      </c>
      <c r="F31" s="90" t="n">
        <v>520000</v>
      </c>
      <c r="G31" s="90" t="n">
        <v>600000</v>
      </c>
      <c r="H31" s="90" t="n">
        <v>660000</v>
      </c>
      <c r="I31" s="51" t="inlineStr">
        <is>
          <t>$</t>
        </is>
      </c>
      <c r="J31" s="51" t="inlineStr">
        <is>
          <t>Model methodology</t>
        </is>
      </c>
      <c r="K31" s="51" t="inlineStr">
        <is>
          <t>Estimate/Projection</t>
        </is>
      </c>
    </row>
    <row r="32">
      <c r="A32" s="51" t="inlineStr">
        <is>
          <t>STM base (full-season equivalents)</t>
        </is>
      </c>
      <c r="B32" s="51" t="inlineStr">
        <is>
          <t>TICKETING</t>
        </is>
      </c>
      <c r="C32" s="87" t="n">
        <v>2300</v>
      </c>
      <c r="D32" s="87" t="n">
        <v>2350</v>
      </c>
      <c r="E32" s="87" t="n">
        <v>2450</v>
      </c>
      <c r="F32" s="87" t="n">
        <v>2550</v>
      </c>
      <c r="G32" s="87" t="n">
        <v>2700</v>
      </c>
      <c r="H32" s="87" t="n">
        <v>2780</v>
      </c>
      <c r="I32" s="51" t="inlineStr">
        <is>
          <t>FSE</t>
        </is>
      </c>
      <c r="J32" s="51" t="inlineStr">
        <is>
          <t>Model methodology</t>
        </is>
      </c>
      <c r="K32" s="51" t="inlineStr">
        <is>
          <t>Estimate/Projection</t>
        </is>
      </c>
    </row>
    <row r="33">
      <c r="A33" s="51" t="inlineStr">
        <is>
          <t>STM retention rate</t>
        </is>
      </c>
      <c r="B33" s="51" t="inlineStr">
        <is>
          <t>TICKETING</t>
        </is>
      </c>
      <c r="C33" s="86" t="n">
        <v>0.77</v>
      </c>
      <c r="D33" s="86" t="n">
        <v>0.76</v>
      </c>
      <c r="E33" s="86" t="n">
        <v>0.78</v>
      </c>
      <c r="F33" s="86" t="n">
        <v>0.8</v>
      </c>
      <c r="G33" s="86" t="n">
        <v>0.82</v>
      </c>
      <c r="H33" s="86" t="n">
        <v>0.83</v>
      </c>
      <c r="I33" s="51" t="inlineStr">
        <is>
          <t>pct</t>
        </is>
      </c>
      <c r="J33" s="51" t="inlineStr">
        <is>
          <t>Model methodology</t>
        </is>
      </c>
      <c r="K33" s="51" t="inlineStr">
        <is>
          <t>Estimate/Projection</t>
        </is>
      </c>
    </row>
    <row r="34">
      <c r="A34" s="51" t="inlineStr">
        <is>
          <t>F&amp;B per-cap gross</t>
        </is>
      </c>
      <c r="B34" s="51" t="inlineStr">
        <is>
          <t>ANCILLARY</t>
        </is>
      </c>
      <c r="C34" s="88" t="n">
        <v>13</v>
      </c>
      <c r="D34" s="88" t="n">
        <v>13.4</v>
      </c>
      <c r="E34" s="88" t="n">
        <v>14</v>
      </c>
      <c r="F34" s="88" t="n">
        <v>14.8</v>
      </c>
      <c r="G34" s="88" t="n">
        <v>15.5</v>
      </c>
      <c r="H34" s="89" t="n"/>
      <c r="I34" s="51" t="inlineStr">
        <is>
          <t>$/attendee</t>
        </is>
      </c>
      <c r="J34" s="51" t="inlineStr">
        <is>
          <t>Model methodology</t>
        </is>
      </c>
      <c r="K34" s="51" t="inlineStr">
        <is>
          <t>Estimate/Projection</t>
        </is>
      </c>
    </row>
    <row r="35">
      <c r="A35" s="51" t="inlineStr">
        <is>
          <t>Team concession commission rate</t>
        </is>
      </c>
      <c r="B35" s="51" t="inlineStr">
        <is>
          <t>ANCILLARY</t>
        </is>
      </c>
      <c r="C35" s="86" t="n">
        <v>0.04</v>
      </c>
      <c r="D35" s="86" t="n">
        <v>0.04</v>
      </c>
      <c r="E35" s="86" t="n">
        <v>0.04</v>
      </c>
      <c r="F35" s="86" t="n">
        <v>0.04</v>
      </c>
      <c r="G35" s="86" t="n">
        <v>0.04</v>
      </c>
      <c r="H35" s="86" t="n">
        <v>0.04</v>
      </c>
      <c r="I35" s="51" t="inlineStr">
        <is>
          <t>pct</t>
        </is>
      </c>
      <c r="J35" s="51" t="inlineStr">
        <is>
          <t>Model methodology</t>
        </is>
      </c>
      <c r="K35" s="51" t="inlineStr">
        <is>
          <t>Estimate</t>
        </is>
      </c>
    </row>
    <row r="36">
      <c r="A36" s="51" t="inlineStr">
        <is>
          <t>Merchandise per-cap</t>
        </is>
      </c>
      <c r="B36" s="51" t="inlineStr">
        <is>
          <t>ANCILLARY</t>
        </is>
      </c>
      <c r="C36" s="88" t="n">
        <v>3.6</v>
      </c>
      <c r="D36" s="88" t="n">
        <v>3.8</v>
      </c>
      <c r="E36" s="88" t="n">
        <v>4</v>
      </c>
      <c r="F36" s="88" t="n">
        <v>4.2</v>
      </c>
      <c r="G36" s="88" t="n">
        <v>4.5</v>
      </c>
      <c r="H36" s="89" t="n"/>
      <c r="I36" s="51" t="inlineStr">
        <is>
          <t>$/attendee</t>
        </is>
      </c>
      <c r="J36" s="51" t="inlineStr">
        <is>
          <t>Model methodology</t>
        </is>
      </c>
      <c r="K36" s="51" t="inlineStr">
        <is>
          <t>Estimate/Projection</t>
        </is>
      </c>
    </row>
    <row r="37">
      <c r="A37" s="51" t="inlineStr">
        <is>
          <t>Parking fee assumption</t>
        </is>
      </c>
      <c r="B37" s="51" t="inlineStr">
        <is>
          <t>ANCILLARY</t>
        </is>
      </c>
      <c r="C37" s="88" t="n">
        <v>15</v>
      </c>
      <c r="D37" s="88" t="n">
        <v>15</v>
      </c>
      <c r="E37" s="88" t="n">
        <v>15</v>
      </c>
      <c r="F37" s="88" t="n">
        <v>18</v>
      </c>
      <c r="G37" s="88" t="n">
        <v>20</v>
      </c>
      <c r="H37" s="88" t="n">
        <v>21</v>
      </c>
      <c r="I37" s="51" t="inlineStr">
        <is>
          <t>$/vehicle</t>
        </is>
      </c>
      <c r="J37" s="51" t="inlineStr">
        <is>
          <t>https://pechangaarenasd.com/plan-your-visit/directions-parking/</t>
        </is>
      </c>
      <c r="K37" s="51" t="inlineStr">
        <is>
          <t>Estimate/Projection</t>
        </is>
      </c>
    </row>
    <row r="38">
      <c r="A38" s="51" t="inlineStr">
        <is>
          <t>Average auto occupancy</t>
        </is>
      </c>
      <c r="B38" s="51" t="inlineStr">
        <is>
          <t>ANCILLARY</t>
        </is>
      </c>
      <c r="C38" s="57" t="n">
        <v>2.6</v>
      </c>
      <c r="D38" s="57" t="n">
        <v>2.6</v>
      </c>
      <c r="E38" s="57" t="n">
        <v>2.6</v>
      </c>
      <c r="F38" s="57" t="n">
        <v>2.5</v>
      </c>
      <c r="G38" s="57" t="n">
        <v>2.5</v>
      </c>
      <c r="H38" s="57" t="n">
        <v>2.5</v>
      </c>
      <c r="I38" s="51" t="inlineStr">
        <is>
          <t>persons/vehicle</t>
        </is>
      </c>
      <c r="J38" s="51" t="inlineStr">
        <is>
          <t>Model methodology</t>
        </is>
      </c>
      <c r="K38" s="51" t="inlineStr">
        <is>
          <t>Estimate</t>
        </is>
      </c>
    </row>
    <row r="39">
      <c r="A39" s="51" t="inlineStr">
        <is>
          <t>Team share of parking</t>
        </is>
      </c>
      <c r="B39" s="51" t="inlineStr">
        <is>
          <t>ANCILLARY</t>
        </is>
      </c>
      <c r="C39" s="86" t="n">
        <v>0.05</v>
      </c>
      <c r="D39" s="86" t="n">
        <v>0.05</v>
      </c>
      <c r="E39" s="86" t="n">
        <v>0.05</v>
      </c>
      <c r="F39" s="86" t="n">
        <v>0.05</v>
      </c>
      <c r="G39" s="86" t="n">
        <v>0.05</v>
      </c>
      <c r="H39" s="86" t="n">
        <v>0.05</v>
      </c>
      <c r="I39" s="51" t="inlineStr">
        <is>
          <t>pct</t>
        </is>
      </c>
      <c r="J39" s="51" t="inlineStr">
        <is>
          <t>Model methodology</t>
        </is>
      </c>
      <c r="K39" s="51" t="inlineStr">
        <is>
          <t>Estimate</t>
        </is>
      </c>
    </row>
    <row r="40">
      <c r="A40" s="51" t="inlineStr">
        <is>
          <t>Total sponsorship revenue</t>
        </is>
      </c>
      <c r="B40" s="51" t="inlineStr">
        <is>
          <t>SPONSORSHIP</t>
        </is>
      </c>
      <c r="C40" s="90" t="n">
        <v>1950000</v>
      </c>
      <c r="D40" s="90" t="n">
        <v>2000000</v>
      </c>
      <c r="E40" s="90" t="n">
        <v>2200000</v>
      </c>
      <c r="F40" s="90" t="n">
        <v>2450000</v>
      </c>
      <c r="G40" s="90" t="n">
        <v>2700000</v>
      </c>
      <c r="H40" s="89" t="n"/>
      <c r="I40" s="51" t="inlineStr">
        <is>
          <t>$</t>
        </is>
      </c>
      <c r="J40" s="51" t="inlineStr">
        <is>
          <t>Model methodology</t>
        </is>
      </c>
      <c r="K40" s="51" t="inlineStr">
        <is>
          <t>Estimate/Projection</t>
        </is>
      </c>
    </row>
    <row r="41">
      <c r="A41" s="51" t="inlineStr">
        <is>
          <t>Title partner value</t>
        </is>
      </c>
      <c r="B41" s="51" t="inlineStr">
        <is>
          <t>SPONSORSHIP</t>
        </is>
      </c>
      <c r="C41" s="90" t="n">
        <v>450000</v>
      </c>
      <c r="D41" s="90" t="n">
        <v>450000</v>
      </c>
      <c r="E41" s="90" t="n">
        <v>480000</v>
      </c>
      <c r="F41" s="90" t="n">
        <v>500000</v>
      </c>
      <c r="G41" s="90" t="n">
        <v>550000</v>
      </c>
      <c r="H41" s="90" t="n">
        <v>580000</v>
      </c>
      <c r="I41" s="51" t="inlineStr">
        <is>
          <t>$</t>
        </is>
      </c>
      <c r="J41" s="51" t="inlineStr">
        <is>
          <t>Model methodology</t>
        </is>
      </c>
      <c r="K41" s="51" t="inlineStr">
        <is>
          <t>Estimate</t>
        </is>
      </c>
    </row>
    <row r="42">
      <c r="A42" s="51" t="inlineStr">
        <is>
          <t>Jersey / patch revenue</t>
        </is>
      </c>
      <c r="B42" s="51" t="inlineStr">
        <is>
          <t>SPONSORSHIP</t>
        </is>
      </c>
      <c r="C42" s="88" t="n">
        <v>0</v>
      </c>
      <c r="D42" s="88" t="n">
        <v>0</v>
      </c>
      <c r="E42" s="90" t="n">
        <v>150000</v>
      </c>
      <c r="F42" s="90" t="n">
        <v>180000</v>
      </c>
      <c r="G42" s="90" t="n">
        <v>200000</v>
      </c>
      <c r="H42" s="90" t="n">
        <v>220000</v>
      </c>
      <c r="I42" s="51" t="inlineStr">
        <is>
          <t>$</t>
        </is>
      </c>
      <c r="J42" s="51" t="inlineStr">
        <is>
          <t>Model methodology</t>
        </is>
      </c>
      <c r="K42" s="51" t="inlineStr">
        <is>
          <t>Estimate</t>
        </is>
      </c>
    </row>
    <row r="43">
      <c r="A43" s="51" t="inlineStr">
        <is>
          <t>Digital inventory yield</t>
        </is>
      </c>
      <c r="B43" s="51" t="inlineStr">
        <is>
          <t>SPONSORSHIP</t>
        </is>
      </c>
      <c r="C43" s="90" t="n">
        <v>80000</v>
      </c>
      <c r="D43" s="90" t="n">
        <v>90000</v>
      </c>
      <c r="E43" s="90" t="n">
        <v>110000</v>
      </c>
      <c r="F43" s="90" t="n">
        <v>130000</v>
      </c>
      <c r="G43" s="90" t="n">
        <v>150000</v>
      </c>
      <c r="H43" s="90" t="n">
        <v>165000</v>
      </c>
      <c r="I43" s="51" t="inlineStr">
        <is>
          <t>$</t>
        </is>
      </c>
      <c r="J43" s="51" t="inlineStr">
        <is>
          <t>Model methodology</t>
        </is>
      </c>
      <c r="K43" s="51" t="inlineStr">
        <is>
          <t>Estimate</t>
        </is>
      </c>
    </row>
    <row r="44">
      <c r="A44" s="51" t="inlineStr">
        <is>
          <t>Broadcast / streaming value</t>
        </is>
      </c>
      <c r="B44" s="51" t="inlineStr">
        <is>
          <t>MEDIA</t>
        </is>
      </c>
      <c r="C44" s="90" t="n">
        <v>150000</v>
      </c>
      <c r="D44" s="90" t="n">
        <v>100000</v>
      </c>
      <c r="E44" s="90" t="n">
        <v>100000</v>
      </c>
      <c r="F44" s="90" t="n">
        <v>110000</v>
      </c>
      <c r="G44" s="90" t="n">
        <v>130000</v>
      </c>
      <c r="H44" s="90" t="n">
        <v>145000</v>
      </c>
      <c r="I44" s="51" t="inlineStr">
        <is>
          <t>$</t>
        </is>
      </c>
      <c r="J44" s="51" t="inlineStr">
        <is>
          <t>https://theahl.com/news/ahl-flosports-partnership-extension</t>
        </is>
      </c>
      <c r="K44" s="51" t="inlineStr">
        <is>
          <t>Estimate</t>
        </is>
      </c>
    </row>
    <row r="45">
      <c r="A45" s="51" t="inlineStr">
        <is>
          <t>Email subscribers (estimated active)</t>
        </is>
      </c>
      <c r="B45" s="51" t="inlineStr">
        <is>
          <t>DIGITAL</t>
        </is>
      </c>
      <c r="C45" s="87" t="n">
        <v>18000</v>
      </c>
      <c r="D45" s="87" t="n">
        <v>19000</v>
      </c>
      <c r="E45" s="87" t="n">
        <v>20000</v>
      </c>
      <c r="F45" s="87" t="n">
        <v>21000</v>
      </c>
      <c r="G45" s="87" t="n">
        <v>22000</v>
      </c>
      <c r="H45" s="87" t="n">
        <v>23000</v>
      </c>
      <c r="I45" s="51" t="inlineStr">
        <is>
          <t>subs</t>
        </is>
      </c>
      <c r="J45" s="51" t="inlineStr">
        <is>
          <t>Model methodology</t>
        </is>
      </c>
      <c r="K45" s="51" t="inlineStr">
        <is>
          <t>Estimate</t>
        </is>
      </c>
    </row>
    <row r="46">
      <c r="A46" s="51" t="inlineStr">
        <is>
          <t>Social audience (aggregate est.)</t>
        </is>
      </c>
      <c r="B46" s="51" t="inlineStr">
        <is>
          <t>DIGITAL</t>
        </is>
      </c>
      <c r="C46" s="87" t="n">
        <v>150000</v>
      </c>
      <c r="D46" s="87" t="n">
        <v>165000</v>
      </c>
      <c r="E46" s="87" t="n">
        <v>180000</v>
      </c>
      <c r="F46" s="87" t="n">
        <v>195000</v>
      </c>
      <c r="G46" s="87" t="n">
        <v>205000</v>
      </c>
      <c r="H46" s="87" t="n">
        <v>215000</v>
      </c>
      <c r="I46" s="51" t="inlineStr">
        <is>
          <t>followers</t>
        </is>
      </c>
      <c r="J46" s="51" t="inlineStr">
        <is>
          <t>Multiple public social snippets</t>
        </is>
      </c>
      <c r="K46" s="51" t="inlineStr">
        <is>
          <t>Estimate</t>
        </is>
      </c>
    </row>
    <row r="47">
      <c r="A47" s="51" t="inlineStr">
        <is>
          <t>Website monthly visits</t>
        </is>
      </c>
      <c r="B47" s="51" t="inlineStr">
        <is>
          <t>DIGITAL</t>
        </is>
      </c>
      <c r="C47" s="87" t="n">
        <v>28000</v>
      </c>
      <c r="D47" s="87" t="n">
        <v>29000</v>
      </c>
      <c r="E47" s="87" t="n">
        <v>31000</v>
      </c>
      <c r="F47" s="87" t="n">
        <v>33000</v>
      </c>
      <c r="G47" s="87" t="n">
        <v>35200</v>
      </c>
      <c r="H47" s="77" t="n"/>
      <c r="I47" s="51" t="inlineStr">
        <is>
          <t>visits</t>
        </is>
      </c>
      <c r="J47" s="51" t="inlineStr">
        <is>
          <t>https://www.similarweb.com/website/sandiegogulls.com/</t>
        </is>
      </c>
      <c r="K47" s="51" t="inlineStr">
        <is>
          <t>Estimate/Projection</t>
        </is>
      </c>
    </row>
    <row r="48">
      <c r="A48" s="51" t="inlineStr">
        <is>
          <t>Bounce rate</t>
        </is>
      </c>
      <c r="B48" s="51" t="inlineStr">
        <is>
          <t>DIGITAL</t>
        </is>
      </c>
      <c r="C48" s="86" t="n">
        <v>0.5</v>
      </c>
      <c r="D48" s="86" t="n">
        <v>0.495</v>
      </c>
      <c r="E48" s="86" t="n">
        <v>0.49</v>
      </c>
      <c r="F48" s="86" t="n">
        <v>0.48</v>
      </c>
      <c r="G48" s="86" t="n">
        <v>0.4725</v>
      </c>
      <c r="H48" s="86" t="n">
        <v>0.465</v>
      </c>
      <c r="I48" s="51" t="inlineStr">
        <is>
          <t>pct</t>
        </is>
      </c>
      <c r="J48" s="51" t="inlineStr">
        <is>
          <t>https://www.similarweb.com/website/sandiegogulls.com/</t>
        </is>
      </c>
      <c r="K48" s="51" t="inlineStr">
        <is>
          <t>Estimate/Projection</t>
        </is>
      </c>
    </row>
    <row r="49">
      <c r="A49" s="51" t="inlineStr">
        <is>
          <t>Pages per visit</t>
        </is>
      </c>
      <c r="B49" s="51" t="inlineStr">
        <is>
          <t>DIGITAL</t>
        </is>
      </c>
      <c r="C49" s="57" t="n">
        <v>1.55</v>
      </c>
      <c r="D49" s="57" t="n">
        <v>1.6</v>
      </c>
      <c r="E49" s="57" t="n">
        <v>1.65</v>
      </c>
      <c r="F49" s="57" t="n">
        <v>1.72</v>
      </c>
      <c r="G49" s="57" t="n">
        <v>1.8</v>
      </c>
      <c r="H49" s="57" t="n">
        <v>1.9</v>
      </c>
      <c r="I49" s="51" t="inlineStr">
        <is>
          <t>pages</t>
        </is>
      </c>
      <c r="J49" s="51" t="inlineStr">
        <is>
          <t>https://www.similarweb.com/website/sandiegogulls.com/</t>
        </is>
      </c>
      <c r="K49" s="51" t="inlineStr">
        <is>
          <t>Estimate/Projection</t>
        </is>
      </c>
    </row>
    <row r="50">
      <c r="A50" s="51" t="inlineStr">
        <is>
          <t>Average visit duration (sec)</t>
        </is>
      </c>
      <c r="B50" s="51" t="inlineStr">
        <is>
          <t>DIGITAL</t>
        </is>
      </c>
      <c r="C50" s="57" t="n">
        <v>60</v>
      </c>
      <c r="D50" s="57" t="n">
        <v>62</v>
      </c>
      <c r="E50" s="57" t="n">
        <v>65</v>
      </c>
      <c r="F50" s="57" t="n">
        <v>68</v>
      </c>
      <c r="G50" s="57" t="n">
        <v>70</v>
      </c>
      <c r="H50" s="57" t="n">
        <v>75</v>
      </c>
      <c r="I50" s="51" t="inlineStr">
        <is>
          <t>sec</t>
        </is>
      </c>
      <c r="J50" s="51" t="inlineStr">
        <is>
          <t>https://www.similarweb.com/website/sandiegogulls.com/</t>
        </is>
      </c>
      <c r="K50" s="51" t="inlineStr">
        <is>
          <t>Estimate/Projection</t>
        </is>
      </c>
    </row>
    <row r="51">
      <c r="A51" s="51" t="inlineStr">
        <is>
          <t>Organic search share</t>
        </is>
      </c>
      <c r="B51" s="51" t="inlineStr">
        <is>
          <t>DIGITAL</t>
        </is>
      </c>
      <c r="C51" s="86" t="n">
        <v>0.4</v>
      </c>
      <c r="D51" s="86" t="n">
        <v>0.41</v>
      </c>
      <c r="E51" s="86" t="n">
        <v>0.43</v>
      </c>
      <c r="F51" s="86" t="n">
        <v>0.44</v>
      </c>
      <c r="G51" s="86" t="n">
        <v>0.4551</v>
      </c>
      <c r="H51" s="86" t="n">
        <v>0.46</v>
      </c>
      <c r="I51" s="51" t="inlineStr">
        <is>
          <t>pct</t>
        </is>
      </c>
      <c r="J51" s="51" t="inlineStr">
        <is>
          <t>https://www.similarweb.com/website/sandiegogulls.com/</t>
        </is>
      </c>
      <c r="K51" s="51" t="inlineStr">
        <is>
          <t>Estimate/Projection</t>
        </is>
      </c>
    </row>
    <row r="52">
      <c r="A52" s="51" t="inlineStr">
        <is>
          <t>Customer acquisition cost</t>
        </is>
      </c>
      <c r="B52" s="51" t="inlineStr">
        <is>
          <t>MARKETING</t>
        </is>
      </c>
      <c r="C52" s="88" t="n">
        <v>45</v>
      </c>
      <c r="D52" s="88" t="n">
        <v>44</v>
      </c>
      <c r="E52" s="88" t="n">
        <v>42</v>
      </c>
      <c r="F52" s="88" t="n">
        <v>40</v>
      </c>
      <c r="G52" s="88" t="n">
        <v>39</v>
      </c>
      <c r="H52" s="88" t="n">
        <v>37</v>
      </c>
      <c r="I52" s="51" t="inlineStr">
        <is>
          <t>$/new buyer</t>
        </is>
      </c>
      <c r="J52" s="51" t="inlineStr">
        <is>
          <t>Model methodology</t>
        </is>
      </c>
      <c r="K52" s="51" t="inlineStr">
        <is>
          <t>Estimate</t>
        </is>
      </c>
    </row>
    <row r="53">
      <c r="A53" s="51" t="inlineStr">
        <is>
          <t>Net promoter score</t>
        </is>
      </c>
      <c r="B53" s="51" t="inlineStr">
        <is>
          <t>MARKETING</t>
        </is>
      </c>
      <c r="C53" s="87" t="n">
        <v>45</v>
      </c>
      <c r="D53" s="87" t="n">
        <v>43</v>
      </c>
      <c r="E53" s="87" t="n">
        <v>46</v>
      </c>
      <c r="F53" s="87" t="n">
        <v>50</v>
      </c>
      <c r="G53" s="87" t="n">
        <v>54</v>
      </c>
      <c r="H53" s="87" t="n">
        <v>56</v>
      </c>
      <c r="I53" s="51" t="inlineStr">
        <is>
          <t>pts</t>
        </is>
      </c>
      <c r="J53" s="51" t="inlineStr">
        <is>
          <t>Model methodology</t>
        </is>
      </c>
      <c r="K53" s="51" t="inlineStr">
        <is>
          <t>Estimate</t>
        </is>
      </c>
    </row>
    <row r="54">
      <c r="A54" s="51" t="inlineStr">
        <is>
          <t>Facility fee per paid ticket</t>
        </is>
      </c>
      <c r="B54" s="51" t="inlineStr">
        <is>
          <t>ARENA</t>
        </is>
      </c>
      <c r="C54" s="89" t="n"/>
      <c r="D54" s="89" t="n"/>
      <c r="E54" s="88" t="n">
        <v>2.5</v>
      </c>
      <c r="F54" s="88" t="n">
        <v>3</v>
      </c>
      <c r="G54" s="88" t="n">
        <v>3</v>
      </c>
      <c r="H54" s="88" t="n">
        <v>3</v>
      </c>
      <c r="I54" s="51" t="inlineStr">
        <is>
          <t>$/ticket</t>
        </is>
      </c>
      <c r="J54" s="51" t="inlineStr">
        <is>
          <t>Lease-era reporting / model assumption</t>
        </is>
      </c>
      <c r="K54" s="51" t="inlineStr">
        <is>
          <t>Estimate</t>
        </is>
      </c>
    </row>
    <row r="55">
      <c r="A55" s="51" t="inlineStr">
        <is>
          <t>Base rent floor (annualized)</t>
        </is>
      </c>
      <c r="B55" s="51" t="inlineStr">
        <is>
          <t>ARENA</t>
        </is>
      </c>
      <c r="C55" s="89" t="n"/>
      <c r="D55" s="89" t="n"/>
      <c r="E55" s="90" t="n">
        <v>775716</v>
      </c>
      <c r="F55" s="90" t="n">
        <v>799107</v>
      </c>
      <c r="G55" s="90" t="n">
        <v>823084</v>
      </c>
      <c r="H55" s="90" t="n">
        <v>839546</v>
      </c>
      <c r="I55" s="51" t="inlineStr">
        <is>
          <t>$</t>
        </is>
      </c>
      <c r="J55" s="51" t="inlineStr">
        <is>
          <t>https://www.lee-associates.com/elee/utc/newsletter/091224/article3.pdf</t>
        </is>
      </c>
      <c r="K55" s="51" t="inlineStr">
        <is>
          <t>Public/Projection</t>
        </is>
      </c>
    </row>
    <row r="56">
      <c r="A56" s="51" t="inlineStr">
        <is>
          <t>Rent escalator</t>
        </is>
      </c>
      <c r="B56" s="51" t="inlineStr">
        <is>
          <t>ARENA</t>
        </is>
      </c>
      <c r="C56" s="63" t="n"/>
      <c r="D56" s="63" t="n"/>
      <c r="E56" s="63" t="n"/>
      <c r="F56" s="86" t="n">
        <v>0.03</v>
      </c>
      <c r="G56" s="86" t="n">
        <v>0.03</v>
      </c>
      <c r="H56" s="86" t="n">
        <v>0.02</v>
      </c>
      <c r="I56" s="51" t="inlineStr">
        <is>
          <t>pct</t>
        </is>
      </c>
      <c r="J56" s="51" t="inlineStr">
        <is>
          <t>Lease-era reporting / model assumption</t>
        </is>
      </c>
      <c r="K56" s="51" t="inlineStr">
        <is>
          <t>Derived/Projection</t>
        </is>
      </c>
    </row>
    <row r="57">
      <c r="A57" s="51" t="inlineStr">
        <is>
          <t>Security / police overhead per event</t>
        </is>
      </c>
      <c r="B57" s="51" t="inlineStr">
        <is>
          <t>ARENA</t>
        </is>
      </c>
      <c r="C57" s="90" t="n">
        <v>12000</v>
      </c>
      <c r="D57" s="90" t="n">
        <v>12000</v>
      </c>
      <c r="E57" s="90" t="n">
        <v>13000</v>
      </c>
      <c r="F57" s="90" t="n">
        <v>14000</v>
      </c>
      <c r="G57" s="90" t="n">
        <v>15000</v>
      </c>
      <c r="H57" s="90" t="n">
        <v>15500</v>
      </c>
      <c r="I57" s="51" t="inlineStr">
        <is>
          <t>$</t>
        </is>
      </c>
      <c r="J57" s="51" t="inlineStr">
        <is>
          <t>https://www.sandiego.gov/sites/default/files/specialeventsopsmanual2020.pdf</t>
        </is>
      </c>
      <c r="K57" s="51" t="inlineStr">
        <is>
          <t>Estimate</t>
        </is>
      </c>
    </row>
    <row r="58">
      <c r="A58" s="51" t="inlineStr">
        <is>
          <t>Utilities &amp; HVAC load</t>
        </is>
      </c>
      <c r="B58" s="51" t="inlineStr">
        <is>
          <t>ARENA</t>
        </is>
      </c>
      <c r="C58" s="90" t="n">
        <v>180000</v>
      </c>
      <c r="D58" s="90" t="n">
        <v>190000</v>
      </c>
      <c r="E58" s="90" t="n">
        <v>210000</v>
      </c>
      <c r="F58" s="90" t="n">
        <v>230000</v>
      </c>
      <c r="G58" s="90" t="n">
        <v>250000</v>
      </c>
      <c r="H58" s="90" t="n">
        <v>260000</v>
      </c>
      <c r="I58" s="51" t="inlineStr">
        <is>
          <t>$</t>
        </is>
      </c>
      <c r="J58" s="51" t="inlineStr">
        <is>
          <t>Model methodology</t>
        </is>
      </c>
      <c r="K58" s="51" t="inlineStr">
        <is>
          <t>Estimate</t>
        </is>
      </c>
    </row>
    <row r="59">
      <c r="A59" s="51" t="inlineStr">
        <is>
          <t>Load-in / load-out allocation</t>
        </is>
      </c>
      <c r="B59" s="51" t="inlineStr">
        <is>
          <t>ARENA</t>
        </is>
      </c>
      <c r="C59" s="90" t="n">
        <v>80000</v>
      </c>
      <c r="D59" s="90" t="n">
        <v>85000</v>
      </c>
      <c r="E59" s="90" t="n">
        <v>90000</v>
      </c>
      <c r="F59" s="90" t="n">
        <v>95000</v>
      </c>
      <c r="G59" s="90" t="n">
        <v>100000</v>
      </c>
      <c r="H59" s="90" t="n">
        <v>105000</v>
      </c>
      <c r="I59" s="51" t="inlineStr">
        <is>
          <t>$</t>
        </is>
      </c>
      <c r="J59" s="51" t="inlineStr">
        <is>
          <t>Model methodology</t>
        </is>
      </c>
      <c r="K59" s="51" t="inlineStr">
        <is>
          <t>Estimate</t>
        </is>
      </c>
    </row>
    <row r="60">
      <c r="A60" s="51" t="inlineStr">
        <is>
          <t>Midway district assessment / CFD</t>
        </is>
      </c>
      <c r="B60" s="51" t="inlineStr">
        <is>
          <t>ARENA</t>
        </is>
      </c>
      <c r="C60" s="88" t="n">
        <v>0</v>
      </c>
      <c r="D60" s="88" t="n">
        <v>0</v>
      </c>
      <c r="E60" s="88" t="n">
        <v>0</v>
      </c>
      <c r="F60" s="88" t="n">
        <v>0</v>
      </c>
      <c r="G60" s="88" t="n">
        <v>0</v>
      </c>
      <c r="H60" s="88" t="n">
        <v>0</v>
      </c>
      <c r="I60" s="51" t="inlineStr">
        <is>
          <t>$</t>
        </is>
      </c>
      <c r="J60" s="51" t="inlineStr">
        <is>
          <t>Public review</t>
        </is>
      </c>
      <c r="K60" s="51" t="inlineStr">
        <is>
          <t>Context</t>
        </is>
      </c>
    </row>
    <row r="61">
      <c r="A61" s="51" t="inlineStr">
        <is>
          <t>Lease horizon (months remaining)</t>
        </is>
      </c>
      <c r="B61" s="51" t="inlineStr">
        <is>
          <t>ARENA</t>
        </is>
      </c>
      <c r="C61" s="77" t="n"/>
      <c r="D61" s="77" t="n"/>
      <c r="E61" s="87" t="n">
        <v>29</v>
      </c>
      <c r="F61" s="87" t="n">
        <v>17</v>
      </c>
      <c r="G61" s="87" t="n">
        <v>5</v>
      </c>
      <c r="H61" s="87" t="n">
        <v>0</v>
      </c>
      <c r="I61" s="51" t="inlineStr">
        <is>
          <t>months</t>
        </is>
      </c>
      <c r="J61" s="51" t="inlineStr">
        <is>
          <t>https://www.sandiego.gov/economic-development/real-estate/midway-rising</t>
        </is>
      </c>
      <c r="K61" s="51" t="inlineStr">
        <is>
          <t>Estimate</t>
        </is>
      </c>
    </row>
    <row r="62">
      <c r="A62" s="51" t="inlineStr">
        <is>
          <t>Naming-rights tranche allocable to team ops</t>
        </is>
      </c>
      <c r="B62" s="51" t="inlineStr">
        <is>
          <t>ARENA</t>
        </is>
      </c>
      <c r="C62" s="90" t="n">
        <v>250000</v>
      </c>
      <c r="D62" s="90" t="n">
        <v>250000</v>
      </c>
      <c r="E62" s="90" t="n">
        <v>260000</v>
      </c>
      <c r="F62" s="90" t="n">
        <v>275000</v>
      </c>
      <c r="G62" s="90" t="n">
        <v>300000</v>
      </c>
      <c r="H62" s="90" t="n">
        <v>310000</v>
      </c>
      <c r="I62" s="51" t="inlineStr">
        <is>
          <t>$</t>
        </is>
      </c>
      <c r="J62" s="51" t="inlineStr">
        <is>
          <t>Model methodology</t>
        </is>
      </c>
      <c r="K62" s="51" t="inlineStr">
        <is>
          <t>Estimate</t>
        </is>
      </c>
    </row>
    <row r="63">
      <c r="A63" s="51" t="inlineStr">
        <is>
          <t>Tax liability</t>
        </is>
      </c>
      <c r="B63" s="51" t="inlineStr">
        <is>
          <t>ARENA</t>
        </is>
      </c>
      <c r="C63" s="90" t="n">
        <v>50000</v>
      </c>
      <c r="D63" s="90" t="n">
        <v>50000</v>
      </c>
      <c r="E63" s="90" t="n">
        <v>50000</v>
      </c>
      <c r="F63" s="90" t="n">
        <v>50000</v>
      </c>
      <c r="G63" s="90" t="n">
        <v>50000</v>
      </c>
      <c r="H63" s="90" t="n">
        <v>50000</v>
      </c>
      <c r="I63" s="51" t="inlineStr">
        <is>
          <t>$</t>
        </is>
      </c>
      <c r="J63" s="51" t="inlineStr">
        <is>
          <t>Model methodology</t>
        </is>
      </c>
      <c r="K63" s="51" t="inlineStr">
        <is>
          <t>Estimate</t>
        </is>
      </c>
    </row>
    <row r="64">
      <c r="A64" s="51" t="inlineStr">
        <is>
          <t>Debt-to-value ratio</t>
        </is>
      </c>
      <c r="B64" s="51" t="inlineStr">
        <is>
          <t>ARENA</t>
        </is>
      </c>
      <c r="C64" s="86" t="n">
        <v>0.05</v>
      </c>
      <c r="D64" s="86" t="n">
        <v>0.05</v>
      </c>
      <c r="E64" s="86" t="n">
        <v>0.05</v>
      </c>
      <c r="F64" s="86" t="n">
        <v>0.05</v>
      </c>
      <c r="G64" s="86" t="n">
        <v>0.05</v>
      </c>
      <c r="H64" s="86" t="n">
        <v>0.05</v>
      </c>
      <c r="I64" s="51" t="inlineStr">
        <is>
          <t>pct</t>
        </is>
      </c>
      <c r="J64" s="51" t="inlineStr">
        <is>
          <t>Model methodology</t>
        </is>
      </c>
      <c r="K64" s="51" t="inlineStr">
        <is>
          <t>Estimate</t>
        </is>
      </c>
    </row>
    <row r="65">
      <c r="A65" s="51" t="inlineStr">
        <is>
          <t>Roster headcount</t>
        </is>
      </c>
      <c r="B65" s="51" t="inlineStr">
        <is>
          <t>HUMAN CAPITAL</t>
        </is>
      </c>
      <c r="C65" s="87" t="n">
        <v>22</v>
      </c>
      <c r="D65" s="87" t="n">
        <v>24</v>
      </c>
      <c r="E65" s="87" t="n">
        <v>26</v>
      </c>
      <c r="F65" s="87" t="n">
        <v>22</v>
      </c>
      <c r="G65" s="87" t="n">
        <v>29</v>
      </c>
      <c r="H65" s="87" t="n">
        <v>29</v>
      </c>
      <c r="I65" s="51" t="inlineStr">
        <is>
          <t>players</t>
        </is>
      </c>
      <c r="J65" s="51" t="inlineStr">
        <is>
          <t>Multiple official roster/game notes sources</t>
        </is>
      </c>
      <c r="K65" s="51" t="inlineStr">
        <is>
          <t>Public/Projection</t>
        </is>
      </c>
    </row>
    <row r="66">
      <c r="A66" s="51" t="inlineStr">
        <is>
          <t>Coaching staff payroll</t>
        </is>
      </c>
      <c r="B66" s="51" t="inlineStr">
        <is>
          <t>HUMAN CAPITAL</t>
        </is>
      </c>
      <c r="C66" s="90" t="n">
        <v>550000</v>
      </c>
      <c r="D66" s="90" t="n">
        <v>560000</v>
      </c>
      <c r="E66" s="90" t="n">
        <v>580000</v>
      </c>
      <c r="F66" s="90" t="n">
        <v>620000</v>
      </c>
      <c r="G66" s="90" t="n">
        <v>680000</v>
      </c>
      <c r="H66" s="90" t="n">
        <v>710000</v>
      </c>
      <c r="I66" s="51" t="inlineStr">
        <is>
          <t>$</t>
        </is>
      </c>
      <c r="J66" s="51" t="inlineStr">
        <is>
          <t>Model methodology</t>
        </is>
      </c>
      <c r="K66" s="51" t="inlineStr">
        <is>
          <t>Estimate</t>
        </is>
      </c>
    </row>
    <row r="67">
      <c r="A67" s="51" t="inlineStr">
        <is>
          <t>Front office FTE</t>
        </is>
      </c>
      <c r="B67" s="51" t="inlineStr">
        <is>
          <t>HUMAN CAPITAL</t>
        </is>
      </c>
      <c r="C67" s="87" t="n">
        <v>42</v>
      </c>
      <c r="D67" s="87" t="n">
        <v>43</v>
      </c>
      <c r="E67" s="87" t="n">
        <v>44</v>
      </c>
      <c r="F67" s="87" t="n">
        <v>45</v>
      </c>
      <c r="G67" s="87" t="n">
        <v>46</v>
      </c>
      <c r="H67" s="87" t="n">
        <v>47</v>
      </c>
      <c r="I67" s="51" t="inlineStr">
        <is>
          <t>FTE</t>
        </is>
      </c>
      <c r="J67" s="51" t="inlineStr">
        <is>
          <t>https://www.linkedin.com/company/san-diego-gulls</t>
        </is>
      </c>
      <c r="K67" s="51" t="inlineStr">
        <is>
          <t>Estimate</t>
        </is>
      </c>
    </row>
    <row r="68">
      <c r="A68" s="51" t="inlineStr">
        <is>
          <t>Medical / training tech spend</t>
        </is>
      </c>
      <c r="B68" s="51" t="inlineStr">
        <is>
          <t>HUMAN CAPITAL</t>
        </is>
      </c>
      <c r="C68" s="90" t="n">
        <v>100000</v>
      </c>
      <c r="D68" s="90" t="n">
        <v>110000</v>
      </c>
      <c r="E68" s="90" t="n">
        <v>130000</v>
      </c>
      <c r="F68" s="90" t="n">
        <v>150000</v>
      </c>
      <c r="G68" s="90" t="n">
        <v>175000</v>
      </c>
      <c r="H68" s="90" t="n">
        <v>185000</v>
      </c>
      <c r="I68" s="51" t="inlineStr">
        <is>
          <t>$</t>
        </is>
      </c>
      <c r="J68" s="51" t="inlineStr">
        <is>
          <t>Model methodology</t>
        </is>
      </c>
      <c r="K68" s="51" t="inlineStr">
        <is>
          <t>Estimate</t>
        </is>
      </c>
    </row>
    <row r="69">
      <c r="A69" s="51" t="inlineStr">
        <is>
          <t>Travel logistics ratio (air-heavy)</t>
        </is>
      </c>
      <c r="B69" s="51" t="inlineStr">
        <is>
          <t>HUMAN CAPITAL</t>
        </is>
      </c>
      <c r="C69" s="86" t="n">
        <v>0.82</v>
      </c>
      <c r="D69" s="86" t="n">
        <v>0.82</v>
      </c>
      <c r="E69" s="86" t="n">
        <v>0.83</v>
      </c>
      <c r="F69" s="86" t="n">
        <v>0.84</v>
      </c>
      <c r="G69" s="86" t="n">
        <v>0.84</v>
      </c>
      <c r="H69" s="86" t="n">
        <v>0.84</v>
      </c>
      <c r="I69" s="51" t="inlineStr">
        <is>
          <t>pct</t>
        </is>
      </c>
      <c r="J69" s="51" t="inlineStr">
        <is>
          <t>Model methodology</t>
        </is>
      </c>
      <c r="K69" s="51" t="inlineStr">
        <is>
          <t>Estimate</t>
        </is>
      </c>
    </row>
    <row r="70">
      <c r="A70" s="51" t="inlineStr">
        <is>
          <t>Player housing spend</t>
        </is>
      </c>
      <c r="B70" s="51" t="inlineStr">
        <is>
          <t>HUMAN CAPITAL</t>
        </is>
      </c>
      <c r="C70" s="90" t="n">
        <v>200000</v>
      </c>
      <c r="D70" s="90" t="n">
        <v>210000</v>
      </c>
      <c r="E70" s="90" t="n">
        <v>230000</v>
      </c>
      <c r="F70" s="90" t="n">
        <v>250000</v>
      </c>
      <c r="G70" s="90" t="n">
        <v>280000</v>
      </c>
      <c r="H70" s="90" t="n">
        <v>290000</v>
      </c>
      <c r="I70" s="51" t="inlineStr">
        <is>
          <t>$</t>
        </is>
      </c>
      <c r="J70" s="51" t="inlineStr">
        <is>
          <t>Model methodology</t>
        </is>
      </c>
      <c r="K70" s="51" t="inlineStr">
        <is>
          <t>Estimate</t>
        </is>
      </c>
    </row>
    <row r="71">
      <c r="A71" s="51" t="inlineStr">
        <is>
          <t>AHL-only salary floor</t>
        </is>
      </c>
      <c r="B71" s="51" t="inlineStr">
        <is>
          <t>HUMAN CAPITAL</t>
        </is>
      </c>
      <c r="C71" s="90" t="n">
        <v>49000</v>
      </c>
      <c r="D71" s="90" t="n">
        <v>50000</v>
      </c>
      <c r="E71" s="90" t="n">
        <v>51500</v>
      </c>
      <c r="F71" s="90" t="n">
        <v>52725</v>
      </c>
      <c r="G71" s="90" t="n">
        <v>54000</v>
      </c>
      <c r="H71" s="90" t="n">
        <v>55620</v>
      </c>
      <c r="I71" s="51" t="inlineStr">
        <is>
          <t>$</t>
        </is>
      </c>
      <c r="J71" s="51" t="inlineStr">
        <is>
          <t>https://phpa.com/site/agreements</t>
        </is>
      </c>
      <c r="K71" s="51" t="inlineStr">
        <is>
          <t>Estimate/Projection</t>
        </is>
      </c>
    </row>
    <row r="72">
      <c r="A72" s="51" t="inlineStr">
        <is>
          <t>AHL-only average salary</t>
        </is>
      </c>
      <c r="B72" s="51" t="inlineStr">
        <is>
          <t>HUMAN CAPITAL</t>
        </is>
      </c>
      <c r="C72" s="90" t="n">
        <v>65000</v>
      </c>
      <c r="D72" s="90" t="n">
        <v>66000</v>
      </c>
      <c r="E72" s="90" t="n">
        <v>70000</v>
      </c>
      <c r="F72" s="90" t="n">
        <v>74000</v>
      </c>
      <c r="G72" s="90" t="n">
        <v>78000</v>
      </c>
      <c r="H72" s="90" t="n">
        <v>80000</v>
      </c>
      <c r="I72" s="51" t="inlineStr">
        <is>
          <t>$</t>
        </is>
      </c>
      <c r="J72" s="51" t="inlineStr">
        <is>
          <t>Model methodology</t>
        </is>
      </c>
      <c r="K72" s="51" t="inlineStr">
        <is>
          <t>Estimate</t>
        </is>
      </c>
    </row>
    <row r="73">
      <c r="A73" s="51" t="inlineStr">
        <is>
          <t>Insurance premiums</t>
        </is>
      </c>
      <c r="B73" s="51" t="inlineStr">
        <is>
          <t>HUMAN CAPITAL</t>
        </is>
      </c>
      <c r="C73" s="90" t="n">
        <v>200000</v>
      </c>
      <c r="D73" s="90" t="n">
        <v>210000</v>
      </c>
      <c r="E73" s="90" t="n">
        <v>230000</v>
      </c>
      <c r="F73" s="90" t="n">
        <v>250000</v>
      </c>
      <c r="G73" s="90" t="n">
        <v>270000</v>
      </c>
      <c r="H73" s="90" t="n">
        <v>280000</v>
      </c>
      <c r="I73" s="51" t="inlineStr">
        <is>
          <t>$</t>
        </is>
      </c>
      <c r="J73" s="51" t="inlineStr">
        <is>
          <t>Model methodology</t>
        </is>
      </c>
      <c r="K73" s="51" t="inlineStr">
        <is>
          <t>Estimate</t>
        </is>
      </c>
    </row>
    <row r="74">
      <c r="A74" s="51" t="inlineStr">
        <is>
          <t>Equipment lifecycle cost</t>
        </is>
      </c>
      <c r="B74" s="51" t="inlineStr">
        <is>
          <t>HUMAN CAPITAL</t>
        </is>
      </c>
      <c r="C74" s="90" t="n">
        <v>150000</v>
      </c>
      <c r="D74" s="90" t="n">
        <v>155000</v>
      </c>
      <c r="E74" s="90" t="n">
        <v>165000</v>
      </c>
      <c r="F74" s="90" t="n">
        <v>175000</v>
      </c>
      <c r="G74" s="90" t="n">
        <v>190000</v>
      </c>
      <c r="H74" s="90" t="n">
        <v>195000</v>
      </c>
      <c r="I74" s="51" t="inlineStr">
        <is>
          <t>$</t>
        </is>
      </c>
      <c r="J74" s="51" t="inlineStr">
        <is>
          <t>Model methodology</t>
        </is>
      </c>
      <c r="K74" s="51" t="inlineStr">
        <is>
          <t>Estimate</t>
        </is>
      </c>
    </row>
    <row r="75">
      <c r="A75" s="51" t="inlineStr">
        <is>
          <t>Ducks prospects in San Diego</t>
        </is>
      </c>
      <c r="B75" s="51" t="inlineStr">
        <is>
          <t>HUMAN CAPITAL</t>
        </is>
      </c>
      <c r="C75" s="87" t="n">
        <v>8</v>
      </c>
      <c r="D75" s="87" t="n">
        <v>8</v>
      </c>
      <c r="E75" s="87" t="n">
        <v>9</v>
      </c>
      <c r="F75" s="87" t="n">
        <v>9</v>
      </c>
      <c r="G75" s="87" t="n">
        <v>15</v>
      </c>
      <c r="H75" s="87" t="n">
        <v>15</v>
      </c>
      <c r="I75" s="51" t="inlineStr">
        <is>
          <t>players</t>
        </is>
      </c>
      <c r="J75" s="51" t="inlineStr">
        <is>
          <t>Multiple official roster/game notes sources</t>
        </is>
      </c>
      <c r="K75" s="51" t="inlineStr">
        <is>
          <t>Estimate</t>
        </is>
      </c>
    </row>
    <row r="76">
      <c r="A76" s="51" t="inlineStr">
        <is>
          <t>NHL parent subsidy</t>
        </is>
      </c>
      <c r="B76" s="51" t="inlineStr">
        <is>
          <t>OTHER</t>
        </is>
      </c>
      <c r="C76" s="90" t="n">
        <v>4200000</v>
      </c>
      <c r="D76" s="90" t="n">
        <v>4300000</v>
      </c>
      <c r="E76" s="90" t="n">
        <v>4400000</v>
      </c>
      <c r="F76" s="90" t="n">
        <v>4500000</v>
      </c>
      <c r="G76" s="90" t="n">
        <v>4700000</v>
      </c>
      <c r="H76" s="90" t="n">
        <v>4900000</v>
      </c>
      <c r="I76" s="51" t="inlineStr">
        <is>
          <t>$</t>
        </is>
      </c>
      <c r="J76" s="51" t="inlineStr">
        <is>
          <t>Model methodology</t>
        </is>
      </c>
      <c r="K76" s="51" t="inlineStr">
        <is>
          <t>Estimate</t>
        </is>
      </c>
    </row>
    <row r="77">
      <c r="A77" s="51" t="inlineStr">
        <is>
          <t>Youth hockey / camp revenue</t>
        </is>
      </c>
      <c r="B77" s="51" t="inlineStr">
        <is>
          <t>OTHER</t>
        </is>
      </c>
      <c r="C77" s="90" t="n">
        <v>80000</v>
      </c>
      <c r="D77" s="90" t="n">
        <v>90000</v>
      </c>
      <c r="E77" s="90" t="n">
        <v>100000</v>
      </c>
      <c r="F77" s="90" t="n">
        <v>120000</v>
      </c>
      <c r="G77" s="90" t="n">
        <v>140000</v>
      </c>
      <c r="H77" s="90" t="n">
        <v>160000</v>
      </c>
      <c r="I77" s="51" t="inlineStr">
        <is>
          <t>$</t>
        </is>
      </c>
      <c r="J77" s="51" t="inlineStr">
        <is>
          <t>Model methodology</t>
        </is>
      </c>
      <c r="K77" s="51" t="inlineStr">
        <is>
          <t>Estimate</t>
        </is>
      </c>
    </row>
    <row r="78">
      <c r="A78" s="51" t="inlineStr">
        <is>
          <t>Foundation asset base</t>
        </is>
      </c>
      <c r="B78" s="51" t="inlineStr">
        <is>
          <t>OTHER</t>
        </is>
      </c>
      <c r="C78" s="90" t="n">
        <v>200000</v>
      </c>
      <c r="D78" s="90" t="n">
        <v>220000</v>
      </c>
      <c r="E78" s="90" t="n">
        <v>240000</v>
      </c>
      <c r="F78" s="90" t="n">
        <v>260000</v>
      </c>
      <c r="G78" s="90" t="n">
        <v>280000</v>
      </c>
      <c r="H78" s="90" t="n">
        <v>300000</v>
      </c>
      <c r="I78" s="51" t="inlineStr">
        <is>
          <t>$</t>
        </is>
      </c>
      <c r="J78" s="51" t="inlineStr">
        <is>
          <t>https://www.sandiegogulls.com/community/foundation</t>
        </is>
      </c>
      <c r="K78" s="51" t="inlineStr">
        <is>
          <t>Estimate</t>
        </is>
      </c>
    </row>
    <row r="79">
      <c r="A79" s="51" t="inlineStr">
        <is>
          <t>Affiliate synergy value</t>
        </is>
      </c>
      <c r="B79" s="51" t="inlineStr">
        <is>
          <t>OTHER</t>
        </is>
      </c>
      <c r="C79" s="90" t="n">
        <v>650000</v>
      </c>
      <c r="D79" s="90" t="n">
        <v>700000</v>
      </c>
      <c r="E79" s="90" t="n">
        <v>750000</v>
      </c>
      <c r="F79" s="90" t="n">
        <v>800000</v>
      </c>
      <c r="G79" s="90" t="n">
        <v>900000</v>
      </c>
      <c r="H79" s="90" t="n">
        <v>950000</v>
      </c>
      <c r="I79" s="51" t="inlineStr">
        <is>
          <t>$</t>
        </is>
      </c>
      <c r="J79" s="51" t="inlineStr">
        <is>
          <t>Model methodology</t>
        </is>
      </c>
      <c r="K79" s="51" t="inlineStr">
        <is>
          <t>Estimate</t>
        </is>
      </c>
    </row>
    <row r="80">
      <c r="A80" s="51" t="inlineStr">
        <is>
          <t>Trademark / brand asset value</t>
        </is>
      </c>
      <c r="B80" s="51" t="inlineStr">
        <is>
          <t>OTHER</t>
        </is>
      </c>
      <c r="C80" s="90" t="n">
        <v>300000</v>
      </c>
      <c r="D80" s="90" t="n">
        <v>325000</v>
      </c>
      <c r="E80" s="90" t="n">
        <v>350000</v>
      </c>
      <c r="F80" s="90" t="n">
        <v>375000</v>
      </c>
      <c r="G80" s="90" t="n">
        <v>425000</v>
      </c>
      <c r="H80" s="90" t="n">
        <v>450000</v>
      </c>
      <c r="I80" s="51" t="inlineStr">
        <is>
          <t>$</t>
        </is>
      </c>
      <c r="J80" s="51" t="inlineStr">
        <is>
          <t>Model methodology</t>
        </is>
      </c>
      <c r="K80" s="51" t="inlineStr">
        <is>
          <t>Estimate</t>
        </is>
      </c>
    </row>
    <row r="81">
      <c r="A81" s="51" t="inlineStr">
        <is>
          <t>Revenue multiple</t>
        </is>
      </c>
      <c r="B81" s="51" t="inlineStr">
        <is>
          <t>VALUATION</t>
        </is>
      </c>
      <c r="C81" s="58" t="n">
        <v>3.2</v>
      </c>
      <c r="D81" s="58" t="n">
        <v>3.2</v>
      </c>
      <c r="E81" s="58" t="n">
        <v>3.2</v>
      </c>
      <c r="F81" s="58" t="n">
        <v>3.2</v>
      </c>
      <c r="G81" s="58" t="n">
        <v>3.2</v>
      </c>
      <c r="H81" s="58" t="n">
        <v>3.2</v>
      </c>
      <c r="I81" s="51" t="inlineStr">
        <is>
          <t>x</t>
        </is>
      </c>
      <c r="J81" s="51" t="inlineStr">
        <is>
          <t>Model control</t>
        </is>
      </c>
      <c r="K81" s="51" t="inlineStr">
        <is>
          <t>Control</t>
        </is>
      </c>
    </row>
    <row r="82">
      <c r="A82" s="51" t="inlineStr">
        <is>
          <t>Email database value per active subscriber</t>
        </is>
      </c>
      <c r="B82" s="51" t="inlineStr">
        <is>
          <t>DIGITAL</t>
        </is>
      </c>
      <c r="C82" s="88" t="n">
        <v>5</v>
      </c>
      <c r="D82" s="88" t="n">
        <v>5</v>
      </c>
      <c r="E82" s="88" t="n">
        <v>5</v>
      </c>
      <c r="F82" s="88" t="n">
        <v>5</v>
      </c>
      <c r="G82" s="88" t="n">
        <v>5</v>
      </c>
      <c r="H82" s="88" t="n">
        <v>5</v>
      </c>
      <c r="I82" s="51" t="inlineStr">
        <is>
          <t>$/active sub</t>
        </is>
      </c>
      <c r="J82" s="51" t="inlineStr">
        <is>
          <t>Model control</t>
        </is>
      </c>
      <c r="K82" s="51" t="inlineStr">
        <is>
          <t>Control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94"/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13" max="13"/>
  </cols>
  <sheetData>
    <row r="1">
      <c r="A1" s="111" t="inlineStr">
        <is>
          <t>Dynamic Charts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</row>
    <row r="2">
      <c r="A2" s="91" t="n"/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</row>
    <row r="3">
      <c r="A3" s="94" t="inlineStr">
        <is>
          <t>Metric</t>
        </is>
      </c>
      <c r="B3" s="94" t="inlineStr">
        <is>
          <t>2021-22</t>
        </is>
      </c>
      <c r="C3" s="94" t="inlineStr">
        <is>
          <t>2022-23</t>
        </is>
      </c>
      <c r="D3" s="94" t="inlineStr">
        <is>
          <t>2023-24</t>
        </is>
      </c>
      <c r="E3" s="94" t="inlineStr">
        <is>
          <t>2024-25</t>
        </is>
      </c>
      <c r="F3" s="94" t="inlineStr">
        <is>
          <t>2025-26</t>
        </is>
      </c>
      <c r="G3" s="94" t="inlineStr">
        <is>
          <t>2026-27</t>
        </is>
      </c>
      <c r="H3" s="91" t="n"/>
      <c r="I3" s="91" t="n"/>
      <c r="J3" s="91" t="n"/>
      <c r="K3" s="91" t="n"/>
      <c r="L3" s="91" t="n"/>
    </row>
    <row r="4">
      <c r="A4" s="115" t="inlineStr">
        <is>
          <t>Average Attendance</t>
        </is>
      </c>
      <c r="B4" s="108">
        <f>IFERROR(Master_Model!E6,0)</f>
        <v/>
      </c>
      <c r="C4" s="108">
        <f>IFERROR(Master_Model!F6,0)</f>
        <v/>
      </c>
      <c r="D4" s="108">
        <f>IFERROR(Master_Model!G6,0)</f>
        <v/>
      </c>
      <c r="E4" s="108">
        <f>IFERROR(Master_Model!H6,0)</f>
        <v/>
      </c>
      <c r="F4" s="108">
        <f>IFERROR(Master_Model!I6,0)</f>
        <v/>
      </c>
      <c r="G4" s="108">
        <f>IFERROR(Master_Model!J6,0)</f>
        <v/>
      </c>
      <c r="H4" s="91" t="n"/>
      <c r="I4" s="91" t="n"/>
      <c r="J4" s="91" t="n"/>
      <c r="K4" s="91" t="n"/>
      <c r="L4" s="91" t="n"/>
    </row>
    <row r="5">
      <c r="A5" s="115" t="inlineStr">
        <is>
          <t>Gross Revenue</t>
        </is>
      </c>
      <c r="B5" s="172">
        <f>IFERROR(Master_Model!E52,0)</f>
        <v/>
      </c>
      <c r="C5" s="172">
        <f>IFERROR(Master_Model!F52,0)</f>
        <v/>
      </c>
      <c r="D5" s="172">
        <f>IFERROR(Master_Model!G52,0)</f>
        <v/>
      </c>
      <c r="E5" s="172">
        <f>IFERROR(Master_Model!H52,0)</f>
        <v/>
      </c>
      <c r="F5" s="172">
        <f>IFERROR(Master_Model!I52,0)</f>
        <v/>
      </c>
      <c r="G5" s="172">
        <f>IFERROR(Master_Model!J52,0)</f>
        <v/>
      </c>
      <c r="H5" s="91" t="n"/>
      <c r="I5" s="91" t="n"/>
      <c r="J5" s="91" t="n"/>
      <c r="K5" s="91" t="n"/>
      <c r="L5" s="91" t="n"/>
    </row>
    <row r="6">
      <c r="A6" s="115" t="inlineStr">
        <is>
          <t>EBITDA</t>
        </is>
      </c>
      <c r="B6" s="172">
        <f>IFERROR(Master_Model!E98,0)</f>
        <v/>
      </c>
      <c r="C6" s="172">
        <f>IFERROR(Master_Model!F98,0)</f>
        <v/>
      </c>
      <c r="D6" s="172">
        <f>IFERROR(Master_Model!G98,0)</f>
        <v/>
      </c>
      <c r="E6" s="172">
        <f>IFERROR(Master_Model!H98,0)</f>
        <v/>
      </c>
      <c r="F6" s="172">
        <f>IFERROR(Master_Model!I98,0)</f>
        <v/>
      </c>
      <c r="G6" s="172">
        <f>IFERROR(Master_Model!J98,0)</f>
        <v/>
      </c>
      <c r="H6" s="91" t="n"/>
      <c r="I6" s="91" t="n"/>
      <c r="J6" s="91" t="n"/>
      <c r="K6" s="91" t="n"/>
      <c r="L6" s="91" t="n"/>
    </row>
    <row r="7">
      <c r="A7" s="115" t="inlineStr">
        <is>
          <t>Implied Valuation</t>
        </is>
      </c>
      <c r="B7" s="172">
        <f>IFERROR(Master_Model!E102,0)</f>
        <v/>
      </c>
      <c r="C7" s="172">
        <f>IFERROR(Master_Model!F102,0)</f>
        <v/>
      </c>
      <c r="D7" s="172">
        <f>IFERROR(Master_Model!G102,0)</f>
        <v/>
      </c>
      <c r="E7" s="172">
        <f>IFERROR(Master_Model!H102,0)</f>
        <v/>
      </c>
      <c r="F7" s="172">
        <f>IFERROR(Master_Model!I102,0)</f>
        <v/>
      </c>
      <c r="G7" s="172">
        <f>IFERROR(Master_Model!J102,0)</f>
        <v/>
      </c>
      <c r="H7" s="91" t="n"/>
      <c r="I7" s="91" t="n"/>
      <c r="J7" s="91" t="n"/>
      <c r="K7" s="91" t="n"/>
      <c r="L7" s="91" t="n"/>
    </row>
    <row r="8">
      <c r="A8" s="91" t="n"/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>
      <c r="A9" s="91" t="n"/>
      <c r="B9" s="91" t="n"/>
      <c r="C9" s="91" t="n"/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</row>
    <row r="10">
      <c r="A10" s="91" t="n"/>
      <c r="B10" s="91" t="n"/>
      <c r="C10" s="91" t="n"/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</row>
    <row r="11">
      <c r="A11" s="91" t="n"/>
      <c r="B11" s="91" t="n"/>
      <c r="C11" s="91" t="n"/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</row>
    <row r="12">
      <c r="A12" s="91" t="n"/>
      <c r="B12" s="91" t="n"/>
      <c r="C12" s="91" t="n"/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</row>
    <row r="13">
      <c r="A13" s="91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</row>
    <row r="14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</row>
    <row r="15">
      <c r="A15" s="91" t="n"/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</row>
    <row r="16">
      <c r="A16" s="91" t="n"/>
      <c r="B16" s="91" t="n"/>
      <c r="C16" s="91" t="n"/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</row>
    <row r="17">
      <c r="A17" s="91" t="n"/>
      <c r="B17" s="91" t="n"/>
      <c r="C17" s="91" t="n"/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</row>
    <row r="18">
      <c r="A18" s="91" t="n"/>
      <c r="B18" s="91" t="n"/>
      <c r="C18" s="91" t="n"/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</row>
    <row r="19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</row>
    <row r="20">
      <c r="A20" s="91" t="n"/>
      <c r="B20" s="91" t="n"/>
      <c r="C20" s="91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</row>
    <row r="21">
      <c r="A21" s="91" t="n"/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>
      <c r="A22" s="91" t="n"/>
      <c r="B22" s="91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>
      <c r="A23" s="91" t="n"/>
      <c r="B23" s="91" t="n"/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>
      <c r="A24" s="91" t="n"/>
      <c r="B24" s="91" t="n"/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>
      <c r="A25" s="91" t="n"/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>
      <c r="A26" s="91" t="n"/>
      <c r="B26" s="91" t="n"/>
      <c r="C26" s="91" t="n"/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</row>
    <row r="27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</row>
    <row r="28">
      <c r="A28" s="91" t="n"/>
      <c r="B28" s="91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</row>
    <row r="29">
      <c r="A29" s="91" t="n"/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>
      <c r="A30" s="91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</row>
    <row r="32">
      <c r="A32" s="91" t="n"/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</row>
    <row r="34">
      <c r="A34" s="91" t="n"/>
      <c r="B34" s="91" t="n"/>
      <c r="C34" s="91" t="n"/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</row>
    <row r="35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>
      <c r="A36" s="91" t="n"/>
      <c r="B36" s="91" t="n"/>
      <c r="C36" s="91" t="n"/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</row>
    <row r="37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</row>
    <row r="38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</row>
    <row r="39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</row>
    <row r="40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94"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PDF Export Macro (ready-to-paste VBA)</t>
        </is>
      </c>
    </row>
    <row r="2">
      <c r="A2" t="inlineStr">
        <is>
          <t>A live VBA module cannot be embedded from this environment, but the code below is ready to paste into Excel VBA and assign to a button.</t>
        </is>
      </c>
    </row>
    <row r="4" ht="100" customHeight="1">
      <c r="A4" s="165" t="inlineStr">
        <is>
          <t>Sub ExportAssessmentPDF()
    Sheets(Array("Scenario_OnePager", "Charts")).Select
    ActiveSheet.ExportAsFixedFormat Type:=xlTypePDF, _
        Filename:=ThisWorkbook.Path &amp; "\\San_Diego_Gulls_Assessment.pdf", _
        Quality:=xlQualityStandard, IncludeDocProperties:=True, _
        IgnorePrintAreas:=False, OpenAfterPublish:=False
    Sheets("Executive_Dashboard").Select
End Sub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2026-04-19T17:55:26Z</dcterms:created>
  <dcterms:modified xmlns:dcterms="http://purl.org/dc/terms/" xmlns:xsi="http://www.w3.org/2001/XMLSchema-instance" xsi:type="dcterms:W3CDTF">2026-04-19T18:00:09Z</dcterms:modified>
</cp:coreProperties>
</file>